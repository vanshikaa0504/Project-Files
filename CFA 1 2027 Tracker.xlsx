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Tracker" sheetId="1" state="visible" r:id="rId3"/>
    <sheet name="📊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<sst xmlns="http://schemas.openxmlformats.org/spreadsheetml/2006/main" count="190" uniqueCount="150">
  <si>
    <t xml:space="preserve">7TH – 14TH SEPTEMBER</t>
  </si>
  <si>
    <t xml:space="preserve">15TH – 22TH SEPTEMBER</t>
  </si>
  <si>
    <t xml:space="preserve">25TH SEPT- 1ST OCTOBER </t>
  </si>
  <si>
    <t xml:space="preserve">2ND- 6TH OCTOBER</t>
  </si>
  <si>
    <t xml:space="preserve">7TH- 11TH OCTOBER</t>
  </si>
  <si>
    <t xml:space="preserve">12TH- 25TH OCTOBER</t>
  </si>
  <si>
    <t xml:space="preserve">CFA LEVEL 1  –  2027 CURRICULUM TRACKER  (102 Learning Modules)</t>
  </si>
  <si>
    <t xml:space="preserve">Revision</t>
  </si>
  <si>
    <t xml:space="preserve">Questions </t>
  </si>
  <si>
    <t xml:space="preserve">Type  1  in the Status column to mark a module done  →  it turns ✅ automatically</t>
  </si>
  <si>
    <t xml:space="preserve">LM #</t>
  </si>
  <si>
    <t xml:space="preserve">Reading Name</t>
  </si>
  <si>
    <t xml:space="preserve">Status</t>
  </si>
  <si>
    <t xml:space="preserve">QUANTITATIVE METHODS</t>
  </si>
  <si>
    <t xml:space="preserve">Returns of Financial Assets and Instruments</t>
  </si>
  <si>
    <t xml:space="preserve">Types of Financial Returns</t>
  </si>
  <si>
    <t xml:space="preserve">Benchmarking Returns</t>
  </si>
  <si>
    <t xml:space="preserve">The Time Value of Money in Finance</t>
  </si>
  <si>
    <t xml:space="preserve">Statistical Characteristics of Asset Returns</t>
  </si>
  <si>
    <t xml:space="preserve">Statistical Distributions for Financial Asset Prices and Returns</t>
  </si>
  <si>
    <t xml:space="preserve">Estimation and Hypothesis Testing</t>
  </si>
  <si>
    <t xml:space="preserve">The Return and Risk of a Financial Portfolio</t>
  </si>
  <si>
    <t xml:space="preserve">Simulation of Financial Asset Prices and Returns</t>
  </si>
  <si>
    <t xml:space="preserve">Applications of Simple Linear Regression in Finance</t>
  </si>
  <si>
    <t xml:space="preserve">Introduction to Financial Data Science</t>
  </si>
  <si>
    <t xml:space="preserve">ECONOMICS</t>
  </si>
  <si>
    <t xml:space="preserve">The Firm &amp; Market Structures</t>
  </si>
  <si>
    <t xml:space="preserve">Understanding Business Cycles</t>
  </si>
  <si>
    <t xml:space="preserve">Fiscal Policy</t>
  </si>
  <si>
    <t xml:space="preserve">Monetary Policy</t>
  </si>
  <si>
    <t xml:space="preserve">Introduction to Geopolitics</t>
  </si>
  <si>
    <t xml:space="preserve">International Trade</t>
  </si>
  <si>
    <t xml:space="preserve">Capital Flows and the FX Market</t>
  </si>
  <si>
    <t xml:space="preserve">Exchange Rate Calculations</t>
  </si>
  <si>
    <t xml:space="preserve">CORPORATE FINANCE</t>
  </si>
  <si>
    <t xml:space="preserve">Organizational Forms, Corporate Issuer Features, and Ownership</t>
  </si>
  <si>
    <t xml:space="preserve">Investors and Other Stakeholders</t>
  </si>
  <si>
    <t xml:space="preserve">Corporate Governance: Conflicts, Mechanisms, Risks, and Benefits</t>
  </si>
  <si>
    <t xml:space="preserve">Working Capital and Liquidity</t>
  </si>
  <si>
    <t xml:space="preserve">Capital Investments and Capital Allocation</t>
  </si>
  <si>
    <t xml:space="preserve">Capital Structure</t>
  </si>
  <si>
    <t xml:space="preserve">Business Models</t>
  </si>
  <si>
    <t xml:space="preserve">FINANCIAL STATEMENT ANALYSIS</t>
  </si>
  <si>
    <t xml:space="preserve">Introduction to Financial Statement Analysis</t>
  </si>
  <si>
    <t xml:space="preserve">Analyzing Income Statements</t>
  </si>
  <si>
    <t xml:space="preserve">Analyzing Balance Sheets</t>
  </si>
  <si>
    <t xml:space="preserve">Analyzing Statements of Cash Flows I</t>
  </si>
  <si>
    <t xml:space="preserve">Analyzing Statements of Cash Flows II</t>
  </si>
  <si>
    <t xml:space="preserve">Analysis of Inventories</t>
  </si>
  <si>
    <t xml:space="preserve">Analysis of Long-Term Assets</t>
  </si>
  <si>
    <t xml:space="preserve">Topics in Long-Term Liabilities and Equity</t>
  </si>
  <si>
    <t xml:space="preserve">Analysis of Income Taxes</t>
  </si>
  <si>
    <t xml:space="preserve">Financial Reporting Quality</t>
  </si>
  <si>
    <t xml:space="preserve">Financial Analysis Techniques</t>
  </si>
  <si>
    <t xml:space="preserve">Introduction to Financial Statement Modelling</t>
  </si>
  <si>
    <t xml:space="preserve">EQUITIES</t>
  </si>
  <si>
    <t xml:space="preserve">Equity Instrument Features</t>
  </si>
  <si>
    <t xml:space="preserve">Equity Jurisdictions, Classes, and the Voting Process</t>
  </si>
  <si>
    <t xml:space="preserve">Equity Issuance and Trading</t>
  </si>
  <si>
    <t xml:space="preserve">Sources of Equity Returns</t>
  </si>
  <si>
    <t xml:space="preserve">Introduction to Equity Valuation</t>
  </si>
  <si>
    <t xml:space="preserve">Discounted Cash Flow and Growth Models</t>
  </si>
  <si>
    <t xml:space="preserve">Relative Value Equity Valuation Approaches</t>
  </si>
  <si>
    <t xml:space="preserve">Financial Statement Forecasting in Equity Valuation</t>
  </si>
  <si>
    <t xml:space="preserve">Industry and Competitive Analysis</t>
  </si>
  <si>
    <t xml:space="preserve">Company Analysis: Past, Present, and Future</t>
  </si>
  <si>
    <t xml:space="preserve">Equity Analyst Research Reports</t>
  </si>
  <si>
    <t xml:space="preserve">The Capital Asset Pricing Model, Market Model, and Other Factor-Based Equity Models</t>
  </si>
  <si>
    <t xml:space="preserve">FIXED INCOME</t>
  </si>
  <si>
    <t xml:space="preserve">Fixed-Income Instrument Features</t>
  </si>
  <si>
    <t xml:space="preserve">Fixed-Income Cash Flows and Types</t>
  </si>
  <si>
    <t xml:space="preserve">Fixed-Income Issuance and Trading</t>
  </si>
  <si>
    <t xml:space="preserve">Fixed-Income Markets for Corporate Issuers</t>
  </si>
  <si>
    <t xml:space="preserve">Fixed-Income Markets for Government Issuers</t>
  </si>
  <si>
    <t xml:space="preserve">Fixed-Income Bond Valuation: Prices and Yields</t>
  </si>
  <si>
    <t xml:space="preserve">Yield and Yield Spread Measures for Fixed-Rate Bonds</t>
  </si>
  <si>
    <t xml:space="preserve">Yield and Yield Spread Measures for Floating-Rate Instruments</t>
  </si>
  <si>
    <t xml:space="preserve">The Term Structure of Interest Rates: Spot, Par, and Forward Curves</t>
  </si>
  <si>
    <t xml:space="preserve">Interest Rate Risk and Return</t>
  </si>
  <si>
    <t xml:space="preserve">Yield-Based Bond Duration Measures and Properties</t>
  </si>
  <si>
    <t xml:space="preserve">Yield-Based Bond Convexity and Portfolio Properties</t>
  </si>
  <si>
    <t xml:space="preserve">Curve-Based and Empirical Fixed-Income Risk Measures</t>
  </si>
  <si>
    <t xml:space="preserve">Credit Risk</t>
  </si>
  <si>
    <t xml:space="preserve">Credit Analysis for Government Issuers</t>
  </si>
  <si>
    <t xml:space="preserve">Credit Analysis for Corporate Issuers</t>
  </si>
  <si>
    <t xml:space="preserve">Fixed-Income Securitization</t>
  </si>
  <si>
    <t xml:space="preserve">Asset-Backed Security (ABS) Instrument and Market Features</t>
  </si>
  <si>
    <t xml:space="preserve">Mortgage-Backed Security (MBS) Instrument and Market Features</t>
  </si>
  <si>
    <t xml:space="preserve">DERIVATIVES</t>
  </si>
  <si>
    <t xml:space="preserve">Derivative Instrument and Derivative Market Features</t>
  </si>
  <si>
    <t xml:space="preserve">Forward Commitment and Contingent Claim Features and Instruments</t>
  </si>
  <si>
    <t xml:space="preserve">Derivative Benefits, Risks, and Issuer and Investor Uses</t>
  </si>
  <si>
    <t xml:space="preserve">Arbitrage, Replication, and the Cost of Carry in Pricing Derivatives</t>
  </si>
  <si>
    <t xml:space="preserve">Pricing and Valuation of Forward Contracts</t>
  </si>
  <si>
    <t xml:space="preserve">Pricing and Valuation of Futures Contracts</t>
  </si>
  <si>
    <t xml:space="preserve">Pricing and Valuation of Interest Rate and Other Swaps</t>
  </si>
  <si>
    <t xml:space="preserve">Pricing and Valuation of Options</t>
  </si>
  <si>
    <t xml:space="preserve">Option Replication Using Put-Call Parity</t>
  </si>
  <si>
    <t xml:space="preserve">Valuing a Derivative Using a One-Period Binomial Model</t>
  </si>
  <si>
    <t xml:space="preserve">ALTERNATIVE INVESTMENTS</t>
  </si>
  <si>
    <t xml:space="preserve">Alternative Investment Features, Methods, and Structures</t>
  </si>
  <si>
    <t xml:space="preserve">Alternative Investment Performance and Returns</t>
  </si>
  <si>
    <t xml:space="preserve">Investments in Private Capital: Equity and Debt</t>
  </si>
  <si>
    <t xml:space="preserve">Real Estate and Infrastructure</t>
  </si>
  <si>
    <t xml:space="preserve">Natural Resources</t>
  </si>
  <si>
    <t xml:space="preserve">Hedge Funds</t>
  </si>
  <si>
    <t xml:space="preserve">Introduction to Digital Assets</t>
  </si>
  <si>
    <t xml:space="preserve">Portfolio Construction</t>
  </si>
  <si>
    <t xml:space="preserve">Portfolio Risk &amp; Return: Part I</t>
  </si>
  <si>
    <t xml:space="preserve">Portfolio Risk &amp; Return: Part II</t>
  </si>
  <si>
    <t xml:space="preserve">Portfolio Construction: An Overview</t>
  </si>
  <si>
    <t xml:space="preserve">Basics of Portfolio Planning &amp; Construction</t>
  </si>
  <si>
    <t xml:space="preserve">The Behavioural Biases of Individuals</t>
  </si>
  <si>
    <t xml:space="preserve">Introduction to Risk Management</t>
  </si>
  <si>
    <t xml:space="preserve">ETHICS</t>
  </si>
  <si>
    <t xml:space="preserve">Ethics and Trust in the Investment Profession</t>
  </si>
  <si>
    <t xml:space="preserve">Code of Ethics and Standards of Professional Conduct</t>
  </si>
  <si>
    <t xml:space="preserve">Guidance for Standard I: Professionalism</t>
  </si>
  <si>
    <t xml:space="preserve">Guidance for Standard II: Integrity of Capital Markets</t>
  </si>
  <si>
    <t xml:space="preserve">Guidance for Standard III: Duties to Clients</t>
  </si>
  <si>
    <t xml:space="preserve">Guidance for Standard IV: Duties to Employers</t>
  </si>
  <si>
    <t xml:space="preserve">Guidance for Standard V: Investment Analysis, Recommendations, and Actions</t>
  </si>
  <si>
    <t xml:space="preserve">Guidance for Standard VI: Conflicts of Interest</t>
  </si>
  <si>
    <t xml:space="preserve">Guidance for Standard VII: Responsibilities as a CFA Institute Member or CFA Candidate</t>
  </si>
  <si>
    <t xml:space="preserve">Ethics Application of the Code and Standards: Level I</t>
  </si>
  <si>
    <t xml:space="preserve">CFA LEVEL 1  –  PROGRESS BY TOPIC  (2027)</t>
  </si>
  <si>
    <t xml:space="preserve">Go to the Tracker sheet → type 1 to mark done → this dashboard updates automatically</t>
  </si>
  <si>
    <t xml:space="preserve">Topic</t>
  </si>
  <si>
    <t xml:space="preserve">Total LMs</t>
  </si>
  <si>
    <t xml:space="preserve">Completed</t>
  </si>
  <si>
    <t xml:space="preserve">Progress</t>
  </si>
  <si>
    <t xml:space="preserve">Quantitative Methods</t>
  </si>
  <si>
    <t xml:space="preserve">Economics</t>
  </si>
  <si>
    <t xml:space="preserve">Corporate Finance</t>
  </si>
  <si>
    <t xml:space="preserve">Financial Statement Analysis</t>
  </si>
  <si>
    <t xml:space="preserve">Equities</t>
  </si>
  <si>
    <t xml:space="preserve">Fixed Income</t>
  </si>
  <si>
    <t xml:space="preserve">Derivatives</t>
  </si>
  <si>
    <t xml:space="preserve">Alternative Investments</t>
  </si>
  <si>
    <t xml:space="preserve">Ethics</t>
  </si>
  <si>
    <t xml:space="preserve">TOTAL</t>
  </si>
  <si>
    <t xml:space="preserve">EXAM TOPIC WEIGHTS  (CFA Level 1 – 2027)</t>
  </si>
  <si>
    <t xml:space="preserve">Exam Weight</t>
  </si>
  <si>
    <t xml:space="preserve">Min %</t>
  </si>
  <si>
    <t xml:space="preserve">Max %</t>
  </si>
  <si>
    <t xml:space="preserve">15–20%</t>
  </si>
  <si>
    <t xml:space="preserve">11–14%</t>
  </si>
  <si>
    <t xml:space="preserve">8–12%</t>
  </si>
  <si>
    <t xml:space="preserve">6–9%</t>
  </si>
  <si>
    <t xml:space="preserve">Source: CFA Institute 2027 Level I Exam Topic Area Weights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</si>
</sst>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"/>
    <numFmt numFmtId="166" formatCode="[=1]\✅;[=0]&quot;&quot;;&quot;&quot;"/>
    <numFmt numFmtId="167" formatCode="0%"/>
    <numFmt numFmtId="168" formatCode="0.0%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CCCCC"/>
      <name val="Calibri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i val="true"/>
      <sz val="9"/>
      <color rgb="FF555555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1565C0"/>
      <name val="Arial"/>
      <family val="2"/>
      <charset val="1"/>
    </font>
    <font>
      <sz val="10"/>
      <color rgb="FF111111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9"/>
      <color rgb="FF2E7D32"/>
      <name val="Arial"/>
      <family val="2"/>
      <charset val="1"/>
    </font>
    <font>
      <b val="true"/>
      <sz val="9"/>
      <color rgb="FFE65100"/>
      <name val="Arial"/>
      <family val="2"/>
      <charset val="1"/>
    </font>
    <font>
      <b val="true"/>
      <sz val="9"/>
      <color rgb="FF6A1B9A"/>
      <name val="Arial"/>
      <family val="2"/>
      <charset val="1"/>
    </font>
    <font>
      <b val="true"/>
      <sz val="9"/>
      <color rgb="FFAD1457"/>
      <name val="Arial"/>
      <family val="2"/>
      <charset val="1"/>
    </font>
    <font>
      <b val="true"/>
      <sz val="9"/>
      <color rgb="FF00695C"/>
      <name val="Arial"/>
      <family val="2"/>
      <charset val="1"/>
    </font>
    <font>
      <b val="true"/>
      <sz val="9"/>
      <color rgb="FF37474F"/>
      <name val="Arial"/>
      <family val="2"/>
      <charset val="1"/>
    </font>
    <font>
      <b val="true"/>
      <sz val="9"/>
      <color rgb="FFF57F17"/>
      <name val="Arial"/>
      <family val="2"/>
      <charset val="1"/>
    </font>
    <font>
      <b val="true"/>
      <sz val="9"/>
      <color rgb="FF283593"/>
      <name val="Arial"/>
      <family val="2"/>
      <charset val="1"/>
    </font>
    <font>
      <b val="true"/>
      <sz val="9"/>
      <color rgb="FF4E342E"/>
      <name val="Arial"/>
      <family val="2"/>
      <charset val="1"/>
    </font>
    <font>
      <b val="true"/>
      <sz val="12"/>
      <color rgb="FF1A1A2E"/>
      <name val="Arial"/>
      <family val="2"/>
      <charset val="1"/>
    </font>
    <font>
      <b val="true"/>
      <sz val="10"/>
      <color rgb="FF1A1A2E"/>
      <name val="Arial"/>
      <family val="2"/>
      <charset val="1"/>
    </font>
    <font>
      <b val="true"/>
      <sz val="10"/>
      <color rgb="FF1565C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2E7D32"/>
      <name val="Arial"/>
      <family val="2"/>
      <charset val="1"/>
    </font>
    <font>
      <b val="true"/>
      <sz val="10"/>
      <color rgb="FFE65100"/>
      <name val="Arial"/>
      <family val="2"/>
      <charset val="1"/>
    </font>
    <font>
      <b val="true"/>
      <sz val="10"/>
      <color rgb="FF6A1B9A"/>
      <name val="Arial"/>
      <family val="2"/>
      <charset val="1"/>
    </font>
    <font>
      <b val="true"/>
      <sz val="10"/>
      <color rgb="FFAD1457"/>
      <name val="Arial"/>
      <family val="2"/>
      <charset val="1"/>
    </font>
    <font>
      <b val="true"/>
      <sz val="10"/>
      <color rgb="FF00695C"/>
      <name val="Arial"/>
      <family val="2"/>
      <charset val="1"/>
    </font>
    <font>
      <b val="true"/>
      <sz val="10"/>
      <color rgb="FF37474F"/>
      <name val="Arial"/>
      <family val="2"/>
      <charset val="1"/>
    </font>
    <font>
      <b val="true"/>
      <sz val="10"/>
      <color rgb="FFF57F17"/>
      <name val="Arial"/>
      <family val="2"/>
      <charset val="1"/>
    </font>
    <font>
      <b val="true"/>
      <sz val="10"/>
      <color rgb="FF283593"/>
      <name val="Arial"/>
      <family val="2"/>
      <charset val="1"/>
    </font>
    <font>
      <b val="true"/>
      <sz val="10"/>
      <color rgb="FF4E342E"/>
      <name val="Arial"/>
      <family val="2"/>
      <charset val="1"/>
    </font>
    <font>
      <b val="true"/>
      <sz val="13"/>
      <color rgb="FF1A1A2E"/>
      <name val="Arial"/>
      <family val="2"/>
      <charset val="1"/>
    </font>
    <font>
      <b val="true"/>
      <sz val="10"/>
      <color rgb="FF111111"/>
      <name val="Arial"/>
      <family val="2"/>
      <charset val="1"/>
    </font>
    <font>
      <sz val="10"/>
      <color rgb="FF333333"/>
      <name val="Arial"/>
      <family val="2"/>
      <charset val="1"/>
    </font>
    <font>
      <i val="true"/>
      <sz val="8"/>
      <color rgb="FF777777"/>
      <name val="Arial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999999"/>
        <bgColor rgb="FF777777"/>
      </patternFill>
    </fill>
    <fill>
      <patternFill patternType="solid">
        <fgColor rgb="FF000000"/>
        <bgColor rgb="FF111111"/>
      </patternFill>
    </fill>
    <fill>
      <patternFill patternType="solid">
        <fgColor rgb="FF1A1A2E"/>
        <bgColor rgb="FF111111"/>
      </patternFill>
    </fill>
    <fill>
      <patternFill patternType="solid">
        <fgColor rgb="FFF0F4FF"/>
        <bgColor rgb="FFECEFF1"/>
      </patternFill>
    </fill>
    <fill>
      <patternFill patternType="solid">
        <fgColor rgb="FF2C3E6B"/>
        <bgColor rgb="FF37474F"/>
      </patternFill>
    </fill>
    <fill>
      <patternFill patternType="solid">
        <fgColor rgb="FF1565C0"/>
        <bgColor rgb="FF3366FF"/>
      </patternFill>
    </fill>
    <fill>
      <patternFill patternType="solid">
        <fgColor rgb="FFDDEEFF"/>
        <bgColor rgb="FFE0F2F1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E0F2F1"/>
      </patternFill>
    </fill>
    <fill>
      <patternFill patternType="solid">
        <fgColor rgb="FFE65100"/>
        <bgColor rgb="FFF57F17"/>
      </patternFill>
    </fill>
    <fill>
      <patternFill patternType="solid">
        <fgColor rgb="FFFFF3E0"/>
        <bgColor rgb="FFFFFDE7"/>
      </patternFill>
    </fill>
    <fill>
      <patternFill patternType="solid">
        <fgColor rgb="FF6A1B9A"/>
        <bgColor rgb="FF800080"/>
      </patternFill>
    </fill>
    <fill>
      <patternFill patternType="solid">
        <fgColor rgb="FFF3E5F5"/>
        <bgColor rgb="FFFCE4EC"/>
      </patternFill>
    </fill>
    <fill>
      <patternFill patternType="solid">
        <fgColor rgb="FFAD1457"/>
        <bgColor rgb="FF993366"/>
      </patternFill>
    </fill>
    <fill>
      <patternFill patternType="solid">
        <fgColor rgb="FFFCE4EC"/>
        <bgColor rgb="FFF3E5F5"/>
      </patternFill>
    </fill>
    <fill>
      <patternFill patternType="solid">
        <fgColor rgb="FF00695C"/>
        <bgColor rgb="FF2E7D32"/>
      </patternFill>
    </fill>
    <fill>
      <patternFill patternType="solid">
        <fgColor rgb="FFE0F2F1"/>
        <bgColor rgb="FFE8F5E9"/>
      </patternFill>
    </fill>
    <fill>
      <patternFill patternType="solid">
        <fgColor rgb="FF37474F"/>
        <bgColor rgb="FF2C3E6B"/>
      </patternFill>
    </fill>
    <fill>
      <patternFill patternType="solid">
        <fgColor rgb="FFECEFF1"/>
        <bgColor rgb="FFEFEBE9"/>
      </patternFill>
    </fill>
    <fill>
      <patternFill patternType="solid">
        <fgColor rgb="FFF57F17"/>
        <bgColor rgb="FFFF8080"/>
      </patternFill>
    </fill>
    <fill>
      <patternFill patternType="solid">
        <fgColor rgb="FFFFFDE7"/>
        <bgColor rgb="FFFFF3E0"/>
      </patternFill>
    </fill>
    <fill>
      <patternFill patternType="solid">
        <fgColor rgb="FF283593"/>
        <bgColor rgb="FF2C3E6B"/>
      </patternFill>
    </fill>
    <fill>
      <patternFill patternType="solid">
        <fgColor rgb="FFE8EAF6"/>
        <bgColor rgb="FFECEFF1"/>
      </patternFill>
    </fill>
    <fill>
      <patternFill patternType="solid">
        <fgColor rgb="FF4E342E"/>
        <bgColor rgb="FF333333"/>
      </patternFill>
    </fill>
    <fill>
      <patternFill patternType="solid">
        <fgColor rgb="FFEFEBE9"/>
        <bgColor rgb="FFECEFF1"/>
      </patternFill>
    </fill>
    <fill>
      <patternFill patternType="solid">
        <fgColor rgb="FFD0D8F0"/>
        <bgColor rgb="FFCCCCCC"/>
      </patternFill>
    </fill>
    <fill>
      <patternFill patternType="solid">
        <fgColor rgb="FF0F3460"/>
        <bgColor rgb="FF2C3E6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2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1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1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2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2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2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2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2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2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2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2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2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2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2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2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2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6" fillId="2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6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6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1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6" fillId="1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6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2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6" fillId="2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2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6" fillId="2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6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6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2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6" fillId="2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</cellStyles>
  <dxfs count="2">
    <dxf>
      <font>
        <name val="Calibri"/>
        <charset val="1"/>
        <family val="2"/>
        <color rgb="FF000000"/>
        <sz val="11"/>
      </font>
      <fill>
        <patternFill>
          <bgColor rgb="FF999999"/>
        </patternFill>
      </fill>
    </dxf>
    <dxf>
      <font>
        <name val="Calibri"/>
        <charset val="1"/>
        <family val="2"/>
        <b val="1"/>
        <color rgb="FF000000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0F4FF"/>
      <rgbColor rgb="FFFF00FF"/>
      <rgbColor rgb="FF00FFFF"/>
      <rgbColor rgb="FF800000"/>
      <rgbColor rgb="FF008000"/>
      <rgbColor rgb="FF1A1A2E"/>
      <rgbColor rgb="FF808000"/>
      <rgbColor rgb="FF6A1B9A"/>
      <rgbColor rgb="FF00695C"/>
      <rgbColor rgb="FFCCCCCC"/>
      <rgbColor rgb="FF777777"/>
      <rgbColor rgb="FFECEFF1"/>
      <rgbColor rgb="FFAD1457"/>
      <rgbColor rgb="FFFFFDE7"/>
      <rgbColor rgb="FFE0F2F1"/>
      <rgbColor rgb="FF660066"/>
      <rgbColor rgb="FFFF8080"/>
      <rgbColor rgb="FF1565C0"/>
      <rgbColor rgb="FFD0D8F0"/>
      <rgbColor rgb="FF2C3E6B"/>
      <rgbColor rgb="FFFF00FF"/>
      <rgbColor rgb="FFFFFF00"/>
      <rgbColor rgb="FF00FFFF"/>
      <rgbColor rgb="FF800080"/>
      <rgbColor rgb="FF800000"/>
      <rgbColor rgb="FF37474F"/>
      <rgbColor rgb="FF0000FF"/>
      <rgbColor rgb="FF00CCFF"/>
      <rgbColor rgb="FFDDEEFF"/>
      <rgbColor rgb="FFE8F5E9"/>
      <rgbColor rgb="FFFFF3E0"/>
      <rgbColor rgb="FFE8EAF6"/>
      <rgbColor rgb="FFF3E5F5"/>
      <rgbColor rgb="FFEFEBE9"/>
      <rgbColor rgb="FFFCE4EC"/>
      <rgbColor rgb="FF3366FF"/>
      <rgbColor rgb="FF33CCCC"/>
      <rgbColor rgb="FF99CC00"/>
      <rgbColor rgb="FFFFCC00"/>
      <rgbColor rgb="FFF57F17"/>
      <rgbColor rgb="FFE65100"/>
      <rgbColor rgb="FF555555"/>
      <rgbColor rgb="FF999999"/>
      <rgbColor rgb="FF0F3460"/>
      <rgbColor rgb="FF2E7D32"/>
      <rgbColor rgb="FF111111"/>
      <rgbColor rgb="FF4E342E"/>
      <rgbColor rgb="FF993300"/>
      <rgbColor rgb="FF993366"/>
      <rgbColor rgb="FF2835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19"/>
  <sheetViews>
    <sheetView showFormulas="false" showGridLines="false" showRowColHeaders="true" showZeros="true" rightToLeft="false" tabSelected="true" showOutlineSymbols="true" defaultGridColor="true" view="normal" topLeftCell="B68" colorId="64" zoomScale="55" zoomScaleNormal="55" zoomScalePageLayoutView="100" workbookViewId="0">
      <selection pane="topLeft" activeCell="I93" activeCellId="0" sqref="I93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7"/>
    <col collapsed="false" customWidth="true" hidden="false" outlineLevel="0" max="3" min="3" style="2" width="83.5"/>
    <col collapsed="false" customWidth="true" hidden="false" outlineLevel="0" max="28" min="4" style="2" width="14"/>
  </cols>
  <sheetData>
    <row r="1" customFormat="false" ht="12.8" hidden="false" customHeight="true" outlineLevel="0" collapsed="false">
      <c r="B1" s="1"/>
      <c r="C1" s="1"/>
      <c r="D1" s="1"/>
      <c r="E1" s="3" t="s">
        <v>0</v>
      </c>
      <c r="F1" s="3"/>
      <c r="G1" s="4" t="s">
        <v>1</v>
      </c>
      <c r="H1" s="4"/>
      <c r="I1" s="4" t="s">
        <v>2</v>
      </c>
      <c r="J1" s="4"/>
      <c r="K1" s="4" t="s">
        <v>3</v>
      </c>
      <c r="L1" s="4"/>
      <c r="M1" s="4" t="s">
        <v>4</v>
      </c>
      <c r="N1" s="4"/>
      <c r="O1" s="4" t="s">
        <v>5</v>
      </c>
      <c r="P1" s="4"/>
    </row>
    <row r="2" customFormat="false" ht="31.5" hidden="false" customHeight="true" outlineLevel="0" collapsed="false">
      <c r="B2" s="5" t="s">
        <v>6</v>
      </c>
      <c r="C2" s="5"/>
      <c r="D2" s="5"/>
      <c r="E2" s="6" t="s">
        <v>7</v>
      </c>
      <c r="F2" s="7" t="s">
        <v>8</v>
      </c>
      <c r="G2" s="6" t="s">
        <v>7</v>
      </c>
      <c r="H2" s="7" t="s">
        <v>8</v>
      </c>
      <c r="I2" s="6" t="s">
        <v>7</v>
      </c>
      <c r="J2" s="7" t="s">
        <v>8</v>
      </c>
      <c r="K2" s="6" t="s">
        <v>7</v>
      </c>
      <c r="L2" s="7" t="s">
        <v>8</v>
      </c>
      <c r="M2" s="6" t="s">
        <v>7</v>
      </c>
      <c r="N2" s="7" t="s">
        <v>8</v>
      </c>
      <c r="O2" s="6" t="s">
        <v>7</v>
      </c>
      <c r="P2" s="7" t="s">
        <v>8</v>
      </c>
    </row>
    <row r="3" customFormat="false" ht="15.75" hidden="false" customHeight="true" outlineLevel="0" collapsed="false">
      <c r="B3" s="8" t="s">
        <v>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customFormat="false" ht="19.5" hidden="false" customHeight="true" outlineLevel="0" collapsed="false">
      <c r="B4" s="9" t="s">
        <v>10</v>
      </c>
      <c r="C4" s="9" t="s">
        <v>11</v>
      </c>
      <c r="D4" s="9" t="s">
        <v>12</v>
      </c>
      <c r="E4" s="9" t="s">
        <v>12</v>
      </c>
      <c r="F4" s="9" t="s">
        <v>12</v>
      </c>
      <c r="G4" s="9" t="s">
        <v>12</v>
      </c>
      <c r="H4" s="9" t="s">
        <v>12</v>
      </c>
      <c r="I4" s="9" t="s">
        <v>12</v>
      </c>
      <c r="J4" s="9" t="s">
        <v>12</v>
      </c>
      <c r="K4" s="9" t="s">
        <v>12</v>
      </c>
      <c r="L4" s="9" t="s">
        <v>12</v>
      </c>
      <c r="M4" s="9" t="s">
        <v>12</v>
      </c>
      <c r="N4" s="9" t="s">
        <v>12</v>
      </c>
      <c r="O4" s="9" t="s">
        <v>12</v>
      </c>
      <c r="P4" s="9" t="s">
        <v>12</v>
      </c>
    </row>
    <row r="5" customFormat="false" ht="18" hidden="false" customHeight="true" outlineLevel="0" collapsed="false">
      <c r="B5" s="10" t="s">
        <v>13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customFormat="false" ht="19.5" hidden="false" customHeight="true" outlineLevel="0" collapsed="false">
      <c r="B6" s="11" t="n">
        <v>1</v>
      </c>
      <c r="C6" s="12" t="s">
        <v>14</v>
      </c>
      <c r="D6" s="13" t="n">
        <v>1</v>
      </c>
      <c r="E6" s="13" t="n">
        <v>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customFormat="false" ht="19.5" hidden="false" customHeight="true" outlineLevel="0" collapsed="false">
      <c r="B7" s="11" t="n">
        <v>2</v>
      </c>
      <c r="C7" s="12" t="s">
        <v>15</v>
      </c>
      <c r="D7" s="13" t="n">
        <v>1</v>
      </c>
      <c r="E7" s="13" t="n">
        <v>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customFormat="false" ht="19.5" hidden="false" customHeight="true" outlineLevel="0" collapsed="false">
      <c r="B8" s="11" t="n">
        <v>3</v>
      </c>
      <c r="C8" s="12" t="s">
        <v>16</v>
      </c>
      <c r="D8" s="13" t="n">
        <v>1</v>
      </c>
      <c r="E8" s="13" t="n">
        <v>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customFormat="false" ht="19.5" hidden="false" customHeight="true" outlineLevel="0" collapsed="false">
      <c r="B9" s="11" t="n">
        <v>4</v>
      </c>
      <c r="C9" s="12" t="s">
        <v>17</v>
      </c>
      <c r="D9" s="13" t="n">
        <v>1</v>
      </c>
      <c r="E9" s="13" t="n">
        <v>1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customFormat="false" ht="19.5" hidden="false" customHeight="true" outlineLevel="0" collapsed="false">
      <c r="B10" s="11" t="n">
        <v>5</v>
      </c>
      <c r="C10" s="12" t="s">
        <v>18</v>
      </c>
      <c r="D10" s="13" t="n">
        <v>1</v>
      </c>
      <c r="E10" s="13" t="n">
        <v>1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customFormat="false" ht="19.5" hidden="false" customHeight="true" outlineLevel="0" collapsed="false">
      <c r="B11" s="11" t="n">
        <v>6</v>
      </c>
      <c r="C11" s="12" t="s">
        <v>19</v>
      </c>
      <c r="D11" s="13" t="n">
        <v>1</v>
      </c>
      <c r="E11" s="13" t="n">
        <v>1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customFormat="false" ht="19.5" hidden="false" customHeight="true" outlineLevel="0" collapsed="false">
      <c r="B12" s="11" t="n">
        <v>7</v>
      </c>
      <c r="C12" s="12" t="s">
        <v>20</v>
      </c>
      <c r="D12" s="13" t="n">
        <v>1</v>
      </c>
      <c r="E12" s="13" t="n">
        <v>1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customFormat="false" ht="19.5" hidden="false" customHeight="true" outlineLevel="0" collapsed="false">
      <c r="B13" s="11" t="n">
        <v>8</v>
      </c>
      <c r="C13" s="12" t="s">
        <v>21</v>
      </c>
      <c r="D13" s="13" t="n">
        <v>1</v>
      </c>
      <c r="E13" s="13" t="n">
        <v>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customFormat="false" ht="19.5" hidden="false" customHeight="true" outlineLevel="0" collapsed="false">
      <c r="B14" s="11" t="n">
        <v>9</v>
      </c>
      <c r="C14" s="12" t="s">
        <v>22</v>
      </c>
      <c r="D14" s="13" t="n">
        <v>1</v>
      </c>
      <c r="E14" s="13" t="n">
        <v>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customFormat="false" ht="19.5" hidden="false" customHeight="true" outlineLevel="0" collapsed="false">
      <c r="B15" s="11" t="n">
        <v>10</v>
      </c>
      <c r="C15" s="12" t="s">
        <v>23</v>
      </c>
      <c r="D15" s="13" t="n">
        <v>1</v>
      </c>
      <c r="E15" s="13" t="n">
        <v>1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customFormat="false" ht="19.5" hidden="false" customHeight="true" outlineLevel="0" collapsed="false">
      <c r="B16" s="11" t="n">
        <v>11</v>
      </c>
      <c r="C16" s="12" t="s">
        <v>24</v>
      </c>
      <c r="D16" s="13" t="n">
        <v>1</v>
      </c>
      <c r="E16" s="13" t="n">
        <v>1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customFormat="false" ht="18" hidden="false" customHeight="true" outlineLevel="0" collapsed="false">
      <c r="B17" s="14" t="s">
        <v>25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customFormat="false" ht="19.5" hidden="false" customHeight="true" outlineLevel="0" collapsed="false">
      <c r="B18" s="15" t="n">
        <v>12</v>
      </c>
      <c r="C18" s="16" t="s">
        <v>26</v>
      </c>
      <c r="D18" s="13" t="n">
        <v>1</v>
      </c>
      <c r="E18" s="13"/>
      <c r="F18" s="13"/>
      <c r="G18" s="13" t="n">
        <v>1</v>
      </c>
      <c r="H18" s="13"/>
      <c r="I18" s="13"/>
      <c r="J18" s="13"/>
      <c r="K18" s="13"/>
      <c r="L18" s="13"/>
      <c r="M18" s="13"/>
      <c r="N18" s="13"/>
      <c r="O18" s="13"/>
      <c r="P18" s="13"/>
    </row>
    <row r="19" customFormat="false" ht="19.5" hidden="false" customHeight="true" outlineLevel="0" collapsed="false">
      <c r="B19" s="15" t="n">
        <v>13</v>
      </c>
      <c r="C19" s="16" t="s">
        <v>27</v>
      </c>
      <c r="D19" s="13" t="n">
        <v>1</v>
      </c>
      <c r="E19" s="13"/>
      <c r="F19" s="13"/>
      <c r="G19" s="13" t="n">
        <v>1</v>
      </c>
      <c r="H19" s="13"/>
      <c r="I19" s="13"/>
      <c r="J19" s="13"/>
      <c r="K19" s="13"/>
      <c r="L19" s="13"/>
      <c r="M19" s="13"/>
      <c r="N19" s="13"/>
      <c r="O19" s="13"/>
      <c r="P19" s="13"/>
    </row>
    <row r="20" customFormat="false" ht="19.5" hidden="false" customHeight="true" outlineLevel="0" collapsed="false">
      <c r="B20" s="15" t="n">
        <v>14</v>
      </c>
      <c r="C20" s="16" t="s">
        <v>28</v>
      </c>
      <c r="D20" s="13" t="n">
        <v>1</v>
      </c>
      <c r="E20" s="13"/>
      <c r="F20" s="13"/>
      <c r="G20" s="13" t="n">
        <v>1</v>
      </c>
      <c r="H20" s="13"/>
      <c r="I20" s="13"/>
      <c r="J20" s="13"/>
      <c r="K20" s="13"/>
      <c r="L20" s="13"/>
      <c r="M20" s="13"/>
      <c r="N20" s="13"/>
      <c r="O20" s="13"/>
      <c r="P20" s="13"/>
    </row>
    <row r="21" customFormat="false" ht="19.5" hidden="false" customHeight="true" outlineLevel="0" collapsed="false">
      <c r="B21" s="15" t="n">
        <v>15</v>
      </c>
      <c r="C21" s="16" t="s">
        <v>29</v>
      </c>
      <c r="D21" s="13" t="n">
        <v>1</v>
      </c>
      <c r="E21" s="13"/>
      <c r="F21" s="13"/>
      <c r="G21" s="13" t="n">
        <v>1</v>
      </c>
      <c r="H21" s="13"/>
      <c r="I21" s="13"/>
      <c r="J21" s="13"/>
      <c r="K21" s="13"/>
      <c r="L21" s="13"/>
      <c r="M21" s="13"/>
      <c r="N21" s="13"/>
      <c r="O21" s="13"/>
      <c r="P21" s="13"/>
    </row>
    <row r="22" customFormat="false" ht="19.5" hidden="false" customHeight="true" outlineLevel="0" collapsed="false">
      <c r="B22" s="15" t="n">
        <v>16</v>
      </c>
      <c r="C22" s="16" t="s">
        <v>30</v>
      </c>
      <c r="D22" s="13" t="n">
        <v>1</v>
      </c>
      <c r="E22" s="13"/>
      <c r="F22" s="13"/>
      <c r="G22" s="13" t="n">
        <v>1</v>
      </c>
      <c r="H22" s="13"/>
      <c r="I22" s="13"/>
      <c r="J22" s="13"/>
      <c r="K22" s="13"/>
      <c r="L22" s="13"/>
      <c r="M22" s="13"/>
      <c r="N22" s="13"/>
      <c r="O22" s="13"/>
      <c r="P22" s="13"/>
    </row>
    <row r="23" customFormat="false" ht="19.5" hidden="false" customHeight="true" outlineLevel="0" collapsed="false">
      <c r="B23" s="15" t="n">
        <v>17</v>
      </c>
      <c r="C23" s="16" t="s">
        <v>31</v>
      </c>
      <c r="D23" s="13" t="n">
        <v>1</v>
      </c>
      <c r="E23" s="13"/>
      <c r="F23" s="13"/>
      <c r="G23" s="13" t="n">
        <v>1</v>
      </c>
      <c r="H23" s="13"/>
      <c r="I23" s="13"/>
      <c r="J23" s="13"/>
      <c r="K23" s="13"/>
      <c r="L23" s="13"/>
      <c r="M23" s="13"/>
      <c r="N23" s="13"/>
      <c r="O23" s="13"/>
      <c r="P23" s="13"/>
    </row>
    <row r="24" customFormat="false" ht="19.5" hidden="false" customHeight="true" outlineLevel="0" collapsed="false">
      <c r="B24" s="15" t="n">
        <v>18</v>
      </c>
      <c r="C24" s="16" t="s">
        <v>32</v>
      </c>
      <c r="D24" s="13" t="n">
        <v>1</v>
      </c>
      <c r="E24" s="13"/>
      <c r="F24" s="13"/>
      <c r="G24" s="13" t="n">
        <v>1</v>
      </c>
      <c r="H24" s="13"/>
      <c r="I24" s="13"/>
      <c r="J24" s="13"/>
      <c r="K24" s="13"/>
      <c r="L24" s="13"/>
      <c r="M24" s="13"/>
      <c r="N24" s="13"/>
      <c r="O24" s="13"/>
      <c r="P24" s="13"/>
    </row>
    <row r="25" customFormat="false" ht="19.5" hidden="false" customHeight="true" outlineLevel="0" collapsed="false">
      <c r="B25" s="15" t="n">
        <v>19</v>
      </c>
      <c r="C25" s="16" t="s">
        <v>33</v>
      </c>
      <c r="D25" s="13" t="n">
        <v>1</v>
      </c>
      <c r="E25" s="13"/>
      <c r="F25" s="13"/>
      <c r="G25" s="13" t="n">
        <v>1</v>
      </c>
      <c r="H25" s="13"/>
      <c r="I25" s="13"/>
      <c r="J25" s="13"/>
      <c r="K25" s="13"/>
      <c r="L25" s="13"/>
      <c r="M25" s="13"/>
      <c r="N25" s="13"/>
      <c r="O25" s="13"/>
      <c r="P25" s="13"/>
    </row>
    <row r="26" customFormat="false" ht="18" hidden="false" customHeight="true" outlineLevel="0" collapsed="false">
      <c r="B26" s="17" t="s">
        <v>34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customFormat="false" ht="19.5" hidden="false" customHeight="true" outlineLevel="0" collapsed="false">
      <c r="B27" s="18" t="n">
        <v>20</v>
      </c>
      <c r="C27" s="19" t="s">
        <v>35</v>
      </c>
      <c r="D27" s="13" t="n">
        <v>1</v>
      </c>
      <c r="E27" s="13" t="n">
        <v>1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customFormat="false" ht="19.5" hidden="false" customHeight="true" outlineLevel="0" collapsed="false">
      <c r="B28" s="18" t="n">
        <v>21</v>
      </c>
      <c r="C28" s="19" t="s">
        <v>36</v>
      </c>
      <c r="D28" s="13" t="n">
        <v>1</v>
      </c>
      <c r="E28" s="13" t="n">
        <v>1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customFormat="false" ht="19.5" hidden="false" customHeight="true" outlineLevel="0" collapsed="false">
      <c r="B29" s="18" t="n">
        <v>22</v>
      </c>
      <c r="C29" s="19" t="s">
        <v>37</v>
      </c>
      <c r="D29" s="13" t="n">
        <v>1</v>
      </c>
      <c r="E29" s="13" t="n">
        <v>1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customFormat="false" ht="19.5" hidden="false" customHeight="true" outlineLevel="0" collapsed="false">
      <c r="B30" s="18" t="n">
        <v>23</v>
      </c>
      <c r="C30" s="19" t="s">
        <v>38</v>
      </c>
      <c r="D30" s="13" t="n">
        <v>1</v>
      </c>
      <c r="E30" s="13" t="n">
        <v>1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customFormat="false" ht="19.5" hidden="false" customHeight="true" outlineLevel="0" collapsed="false">
      <c r="B31" s="18" t="n">
        <v>24</v>
      </c>
      <c r="C31" s="19" t="s">
        <v>39</v>
      </c>
      <c r="D31" s="13" t="n">
        <v>1</v>
      </c>
      <c r="E31" s="13" t="n">
        <v>1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customFormat="false" ht="19.5" hidden="false" customHeight="true" outlineLevel="0" collapsed="false">
      <c r="B32" s="18" t="n">
        <v>25</v>
      </c>
      <c r="C32" s="19" t="s">
        <v>40</v>
      </c>
      <c r="D32" s="13" t="n">
        <v>1</v>
      </c>
      <c r="E32" s="13" t="n">
        <v>1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customFormat="false" ht="19.5" hidden="false" customHeight="true" outlineLevel="0" collapsed="false">
      <c r="B33" s="18" t="n">
        <v>26</v>
      </c>
      <c r="C33" s="19" t="s">
        <v>41</v>
      </c>
      <c r="D33" s="13" t="n">
        <v>1</v>
      </c>
      <c r="E33" s="13" t="n">
        <v>1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customFormat="false" ht="18" hidden="false" customHeight="true" outlineLevel="0" collapsed="false">
      <c r="B34" s="20" t="s">
        <v>42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customFormat="false" ht="19.5" hidden="false" customHeight="true" outlineLevel="0" collapsed="false">
      <c r="B35" s="21" t="n">
        <v>27</v>
      </c>
      <c r="C35" s="22" t="s">
        <v>43</v>
      </c>
      <c r="D35" s="13" t="n">
        <v>1</v>
      </c>
      <c r="E35" s="13"/>
      <c r="F35" s="13"/>
      <c r="G35" s="13"/>
      <c r="H35" s="13"/>
      <c r="I35" s="13" t="n">
        <v>1</v>
      </c>
      <c r="J35" s="13"/>
      <c r="K35" s="13" t="n">
        <v>2</v>
      </c>
      <c r="L35" s="13"/>
      <c r="M35" s="13"/>
      <c r="N35" s="13"/>
      <c r="O35" s="13"/>
      <c r="P35" s="13"/>
    </row>
    <row r="36" customFormat="false" ht="19.5" hidden="false" customHeight="true" outlineLevel="0" collapsed="false">
      <c r="B36" s="21" t="n">
        <v>28</v>
      </c>
      <c r="C36" s="22" t="s">
        <v>44</v>
      </c>
      <c r="D36" s="13" t="n">
        <v>1</v>
      </c>
      <c r="E36" s="13"/>
      <c r="F36" s="13"/>
      <c r="G36" s="13"/>
      <c r="H36" s="13"/>
      <c r="I36" s="13" t="n">
        <v>1</v>
      </c>
      <c r="J36" s="13"/>
      <c r="K36" s="13" t="n">
        <v>2</v>
      </c>
      <c r="L36" s="13"/>
      <c r="M36" s="13"/>
      <c r="N36" s="13"/>
      <c r="O36" s="13"/>
      <c r="P36" s="13"/>
    </row>
    <row r="37" customFormat="false" ht="19.5" hidden="false" customHeight="true" outlineLevel="0" collapsed="false">
      <c r="B37" s="21" t="n">
        <v>29</v>
      </c>
      <c r="C37" s="22" t="s">
        <v>45</v>
      </c>
      <c r="D37" s="13" t="n">
        <v>1</v>
      </c>
      <c r="E37" s="13"/>
      <c r="F37" s="13"/>
      <c r="G37" s="13"/>
      <c r="H37" s="13"/>
      <c r="I37" s="13" t="n">
        <v>2</v>
      </c>
      <c r="J37" s="13"/>
      <c r="K37" s="13" t="n">
        <v>2</v>
      </c>
      <c r="L37" s="13"/>
      <c r="M37" s="13"/>
      <c r="N37" s="13"/>
      <c r="O37" s="13"/>
      <c r="P37" s="13"/>
    </row>
    <row r="38" customFormat="false" ht="19.5" hidden="false" customHeight="true" outlineLevel="0" collapsed="false">
      <c r="B38" s="21" t="n">
        <v>30</v>
      </c>
      <c r="C38" s="22" t="s">
        <v>46</v>
      </c>
      <c r="D38" s="13" t="n">
        <v>1</v>
      </c>
      <c r="E38" s="13"/>
      <c r="F38" s="13"/>
      <c r="G38" s="13"/>
      <c r="H38" s="13"/>
      <c r="I38" s="13" t="n">
        <v>2</v>
      </c>
      <c r="J38" s="13"/>
      <c r="K38" s="13" t="n">
        <v>2</v>
      </c>
      <c r="L38" s="13"/>
      <c r="M38" s="13"/>
      <c r="N38" s="13"/>
      <c r="O38" s="13"/>
      <c r="P38" s="13"/>
    </row>
    <row r="39" customFormat="false" ht="19.5" hidden="false" customHeight="true" outlineLevel="0" collapsed="false">
      <c r="B39" s="21" t="n">
        <v>31</v>
      </c>
      <c r="C39" s="22" t="s">
        <v>47</v>
      </c>
      <c r="D39" s="13" t="n">
        <v>1</v>
      </c>
      <c r="E39" s="13"/>
      <c r="F39" s="13"/>
      <c r="G39" s="13"/>
      <c r="H39" s="13"/>
      <c r="I39" s="13" t="n">
        <v>2</v>
      </c>
      <c r="J39" s="13"/>
      <c r="K39" s="13" t="n">
        <v>2</v>
      </c>
      <c r="L39" s="13"/>
      <c r="M39" s="13"/>
      <c r="N39" s="13"/>
      <c r="O39" s="13"/>
      <c r="P39" s="13"/>
    </row>
    <row r="40" customFormat="false" ht="19.5" hidden="false" customHeight="true" outlineLevel="0" collapsed="false">
      <c r="B40" s="21" t="n">
        <v>32</v>
      </c>
      <c r="C40" s="22" t="s">
        <v>48</v>
      </c>
      <c r="D40" s="13" t="n">
        <v>1</v>
      </c>
      <c r="E40" s="13"/>
      <c r="F40" s="13"/>
      <c r="G40" s="13"/>
      <c r="H40" s="13"/>
      <c r="I40" s="13" t="n">
        <v>2</v>
      </c>
      <c r="J40" s="13"/>
      <c r="K40" s="13" t="n">
        <v>2</v>
      </c>
      <c r="L40" s="13"/>
      <c r="M40" s="13"/>
      <c r="N40" s="13"/>
      <c r="O40" s="13"/>
      <c r="P40" s="13"/>
    </row>
    <row r="41" customFormat="false" ht="19.5" hidden="false" customHeight="true" outlineLevel="0" collapsed="false">
      <c r="B41" s="21" t="n">
        <v>33</v>
      </c>
      <c r="C41" s="22" t="s">
        <v>49</v>
      </c>
      <c r="D41" s="13" t="n">
        <v>1</v>
      </c>
      <c r="E41" s="13"/>
      <c r="F41" s="13"/>
      <c r="G41" s="13"/>
      <c r="H41" s="13"/>
      <c r="I41" s="13" t="n">
        <v>2</v>
      </c>
      <c r="J41" s="13"/>
      <c r="K41" s="13" t="n">
        <v>2</v>
      </c>
      <c r="L41" s="13"/>
      <c r="M41" s="13"/>
      <c r="N41" s="13"/>
      <c r="O41" s="13"/>
      <c r="P41" s="13"/>
    </row>
    <row r="42" customFormat="false" ht="19.5" hidden="false" customHeight="true" outlineLevel="0" collapsed="false">
      <c r="B42" s="21" t="n">
        <v>34</v>
      </c>
      <c r="C42" s="22" t="s">
        <v>50</v>
      </c>
      <c r="D42" s="13" t="n">
        <v>1</v>
      </c>
      <c r="E42" s="13"/>
      <c r="F42" s="13"/>
      <c r="G42" s="13"/>
      <c r="H42" s="13"/>
      <c r="I42" s="13" t="n">
        <v>2</v>
      </c>
      <c r="J42" s="13"/>
      <c r="K42" s="13" t="n">
        <v>2</v>
      </c>
      <c r="L42" s="13"/>
      <c r="M42" s="13"/>
      <c r="N42" s="13"/>
      <c r="O42" s="13"/>
      <c r="P42" s="13"/>
    </row>
    <row r="43" customFormat="false" ht="19.5" hidden="false" customHeight="true" outlineLevel="0" collapsed="false">
      <c r="B43" s="21" t="n">
        <v>35</v>
      </c>
      <c r="C43" s="22" t="s">
        <v>51</v>
      </c>
      <c r="D43" s="13" t="n">
        <v>1</v>
      </c>
      <c r="E43" s="13"/>
      <c r="F43" s="13"/>
      <c r="G43" s="13"/>
      <c r="H43" s="13"/>
      <c r="I43" s="13" t="n">
        <v>2</v>
      </c>
      <c r="J43" s="13"/>
      <c r="K43" s="13" t="n">
        <v>2</v>
      </c>
      <c r="L43" s="13"/>
      <c r="M43" s="13"/>
      <c r="N43" s="13"/>
      <c r="O43" s="13"/>
      <c r="P43" s="13"/>
    </row>
    <row r="44" customFormat="false" ht="19.5" hidden="false" customHeight="true" outlineLevel="0" collapsed="false">
      <c r="B44" s="21" t="n">
        <v>36</v>
      </c>
      <c r="C44" s="22" t="s">
        <v>52</v>
      </c>
      <c r="D44" s="13" t="n">
        <v>1</v>
      </c>
      <c r="E44" s="13"/>
      <c r="F44" s="13"/>
      <c r="G44" s="13"/>
      <c r="H44" s="13"/>
      <c r="I44" s="13" t="n">
        <v>2</v>
      </c>
      <c r="J44" s="13"/>
      <c r="K44" s="13" t="n">
        <v>2</v>
      </c>
      <c r="L44" s="13"/>
      <c r="M44" s="13"/>
      <c r="N44" s="13"/>
      <c r="O44" s="13"/>
      <c r="P44" s="13"/>
    </row>
    <row r="45" customFormat="false" ht="19.5" hidden="false" customHeight="true" outlineLevel="0" collapsed="false">
      <c r="B45" s="21" t="n">
        <v>37</v>
      </c>
      <c r="C45" s="22" t="s">
        <v>53</v>
      </c>
      <c r="D45" s="13" t="n">
        <v>1</v>
      </c>
      <c r="E45" s="13"/>
      <c r="F45" s="13"/>
      <c r="G45" s="13"/>
      <c r="H45" s="13"/>
      <c r="I45" s="13" t="n">
        <v>2</v>
      </c>
      <c r="J45" s="13"/>
      <c r="K45" s="13" t="n">
        <v>2</v>
      </c>
      <c r="L45" s="13"/>
      <c r="M45" s="13"/>
      <c r="N45" s="13"/>
      <c r="O45" s="13"/>
      <c r="P45" s="13"/>
    </row>
    <row r="46" customFormat="false" ht="19.5" hidden="false" customHeight="true" outlineLevel="0" collapsed="false">
      <c r="B46" s="21" t="n">
        <v>38</v>
      </c>
      <c r="C46" s="22" t="s">
        <v>54</v>
      </c>
      <c r="D46" s="13" t="n">
        <v>1</v>
      </c>
      <c r="E46" s="13"/>
      <c r="F46" s="13"/>
      <c r="G46" s="13"/>
      <c r="H46" s="13"/>
      <c r="I46" s="13" t="n">
        <v>2</v>
      </c>
      <c r="J46" s="13"/>
      <c r="K46" s="13" t="n">
        <v>2</v>
      </c>
      <c r="L46" s="13"/>
      <c r="M46" s="13"/>
      <c r="N46" s="13"/>
      <c r="O46" s="13"/>
      <c r="P46" s="13"/>
    </row>
    <row r="47" customFormat="false" ht="18" hidden="false" customHeight="true" outlineLevel="0" collapsed="false">
      <c r="B47" s="23" t="s">
        <v>55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  <row r="48" customFormat="false" ht="19.5" hidden="false" customHeight="true" outlineLevel="0" collapsed="false">
      <c r="B48" s="24" t="n">
        <v>39</v>
      </c>
      <c r="C48" s="25" t="s">
        <v>56</v>
      </c>
      <c r="D48" s="13" t="n">
        <v>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 t="n">
        <v>2</v>
      </c>
      <c r="P48" s="13"/>
    </row>
    <row r="49" customFormat="false" ht="19.5" hidden="false" customHeight="true" outlineLevel="0" collapsed="false">
      <c r="B49" s="24" t="n">
        <v>40</v>
      </c>
      <c r="C49" s="25" t="s">
        <v>57</v>
      </c>
      <c r="D49" s="13" t="n">
        <v>1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 t="n">
        <v>2</v>
      </c>
      <c r="P49" s="13"/>
    </row>
    <row r="50" customFormat="false" ht="19.5" hidden="false" customHeight="true" outlineLevel="0" collapsed="false">
      <c r="B50" s="24" t="n">
        <v>41</v>
      </c>
      <c r="C50" s="25" t="s">
        <v>58</v>
      </c>
      <c r="D50" s="13" t="n">
        <v>1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 t="n">
        <v>2</v>
      </c>
      <c r="P50" s="13"/>
    </row>
    <row r="51" customFormat="false" ht="19.5" hidden="false" customHeight="true" outlineLevel="0" collapsed="false">
      <c r="B51" s="24" t="n">
        <v>42</v>
      </c>
      <c r="C51" s="25" t="s">
        <v>59</v>
      </c>
      <c r="D51" s="13" t="n">
        <v>1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 t="n">
        <v>2</v>
      </c>
      <c r="P51" s="13"/>
    </row>
    <row r="52" customFormat="false" ht="19.5" hidden="false" customHeight="true" outlineLevel="0" collapsed="false">
      <c r="B52" s="24" t="n">
        <v>43</v>
      </c>
      <c r="C52" s="25" t="s">
        <v>60</v>
      </c>
      <c r="D52" s="13" t="n">
        <v>1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 t="n">
        <v>2</v>
      </c>
      <c r="P52" s="13"/>
    </row>
    <row r="53" customFormat="false" ht="19.5" hidden="false" customHeight="true" outlineLevel="0" collapsed="false">
      <c r="B53" s="24" t="n">
        <v>44</v>
      </c>
      <c r="C53" s="25" t="s">
        <v>61</v>
      </c>
      <c r="D53" s="13" t="n">
        <v>1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 t="n">
        <v>2</v>
      </c>
      <c r="P53" s="13"/>
    </row>
    <row r="54" customFormat="false" ht="19.5" hidden="false" customHeight="true" outlineLevel="0" collapsed="false">
      <c r="B54" s="24" t="n">
        <v>45</v>
      </c>
      <c r="C54" s="25" t="s">
        <v>62</v>
      </c>
      <c r="D54" s="13" t="n">
        <v>1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 t="n">
        <v>2</v>
      </c>
      <c r="P54" s="13"/>
    </row>
    <row r="55" customFormat="false" ht="19.5" hidden="false" customHeight="true" outlineLevel="0" collapsed="false">
      <c r="B55" s="24" t="n">
        <v>46</v>
      </c>
      <c r="C55" s="25" t="s">
        <v>63</v>
      </c>
      <c r="D55" s="13" t="n">
        <v>1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 t="n">
        <v>2</v>
      </c>
      <c r="P55" s="13"/>
    </row>
    <row r="56" customFormat="false" ht="19.5" hidden="false" customHeight="true" outlineLevel="0" collapsed="false">
      <c r="B56" s="24" t="n">
        <v>47</v>
      </c>
      <c r="C56" s="25" t="s">
        <v>64</v>
      </c>
      <c r="D56" s="13" t="n">
        <v>1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 t="n">
        <v>2</v>
      </c>
      <c r="P56" s="13"/>
    </row>
    <row r="57" customFormat="false" ht="19.5" hidden="false" customHeight="true" outlineLevel="0" collapsed="false">
      <c r="B57" s="24" t="n">
        <v>48</v>
      </c>
      <c r="C57" s="25" t="s">
        <v>65</v>
      </c>
      <c r="D57" s="13" t="n">
        <v>1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 t="n">
        <v>2</v>
      </c>
      <c r="P57" s="13"/>
    </row>
    <row r="58" customFormat="false" ht="19.5" hidden="false" customHeight="true" outlineLevel="0" collapsed="false">
      <c r="B58" s="24" t="n">
        <v>49</v>
      </c>
      <c r="C58" s="25" t="s">
        <v>66</v>
      </c>
      <c r="D58" s="13" t="n">
        <v>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 t="n">
        <v>2</v>
      </c>
      <c r="P58" s="13"/>
    </row>
    <row r="59" customFormat="false" ht="19.5" hidden="false" customHeight="true" outlineLevel="0" collapsed="false">
      <c r="B59" s="24" t="n">
        <v>50</v>
      </c>
      <c r="C59" s="25" t="s">
        <v>67</v>
      </c>
      <c r="D59" s="13" t="n">
        <v>1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 t="n">
        <v>2</v>
      </c>
      <c r="P59" s="13"/>
    </row>
    <row r="60" customFormat="false" ht="18" hidden="false" customHeight="true" outlineLevel="0" collapsed="false">
      <c r="B60" s="26" t="s">
        <v>68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customFormat="false" ht="19.5" hidden="false" customHeight="true" outlineLevel="0" collapsed="false">
      <c r="B61" s="27" t="n">
        <v>51</v>
      </c>
      <c r="C61" s="28" t="s">
        <v>69</v>
      </c>
      <c r="D61" s="13" t="n">
        <v>1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 t="n">
        <v>2</v>
      </c>
      <c r="P61" s="13"/>
    </row>
    <row r="62" customFormat="false" ht="19.5" hidden="false" customHeight="true" outlineLevel="0" collapsed="false">
      <c r="B62" s="27" t="n">
        <v>52</v>
      </c>
      <c r="C62" s="28" t="s">
        <v>70</v>
      </c>
      <c r="D62" s="13" t="n">
        <v>1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 t="n">
        <v>2</v>
      </c>
      <c r="P62" s="13"/>
    </row>
    <row r="63" customFormat="false" ht="19.5" hidden="false" customHeight="true" outlineLevel="0" collapsed="false">
      <c r="B63" s="27" t="n">
        <v>53</v>
      </c>
      <c r="C63" s="28" t="s">
        <v>71</v>
      </c>
      <c r="D63" s="13" t="n">
        <v>1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 t="n">
        <v>2</v>
      </c>
      <c r="P63" s="13"/>
    </row>
    <row r="64" customFormat="false" ht="19.5" hidden="false" customHeight="true" outlineLevel="0" collapsed="false">
      <c r="B64" s="27" t="n">
        <v>54</v>
      </c>
      <c r="C64" s="28" t="s">
        <v>72</v>
      </c>
      <c r="D64" s="13" t="n">
        <v>1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 t="n">
        <v>2</v>
      </c>
      <c r="P64" s="13"/>
    </row>
    <row r="65" customFormat="false" ht="19.5" hidden="false" customHeight="true" outlineLevel="0" collapsed="false">
      <c r="B65" s="27" t="n">
        <v>55</v>
      </c>
      <c r="C65" s="28" t="s">
        <v>73</v>
      </c>
      <c r="D65" s="13" t="n">
        <v>1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 t="n">
        <v>2</v>
      </c>
      <c r="P65" s="13"/>
    </row>
    <row r="66" customFormat="false" ht="19.5" hidden="false" customHeight="true" outlineLevel="0" collapsed="false">
      <c r="B66" s="27" t="n">
        <v>56</v>
      </c>
      <c r="C66" s="28" t="s">
        <v>74</v>
      </c>
      <c r="D66" s="13" t="n">
        <v>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 t="n">
        <v>2</v>
      </c>
      <c r="P66" s="13"/>
    </row>
    <row r="67" customFormat="false" ht="19.5" hidden="false" customHeight="true" outlineLevel="0" collapsed="false">
      <c r="B67" s="27" t="n">
        <v>57</v>
      </c>
      <c r="C67" s="28" t="s">
        <v>75</v>
      </c>
      <c r="D67" s="13" t="n">
        <v>1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 t="n">
        <v>2</v>
      </c>
      <c r="P67" s="13"/>
    </row>
    <row r="68" customFormat="false" ht="19.5" hidden="false" customHeight="true" outlineLevel="0" collapsed="false">
      <c r="B68" s="27" t="n">
        <v>58</v>
      </c>
      <c r="C68" s="28" t="s">
        <v>76</v>
      </c>
      <c r="D68" s="13" t="n">
        <v>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 t="n">
        <v>2</v>
      </c>
      <c r="P68" s="13"/>
    </row>
    <row r="69" customFormat="false" ht="19.5" hidden="false" customHeight="true" outlineLevel="0" collapsed="false">
      <c r="B69" s="27" t="n">
        <v>59</v>
      </c>
      <c r="C69" s="28" t="s">
        <v>77</v>
      </c>
      <c r="D69" s="13" t="n">
        <v>1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 t="n">
        <v>2</v>
      </c>
      <c r="P69" s="13"/>
    </row>
    <row r="70" customFormat="false" ht="19.5" hidden="false" customHeight="true" outlineLevel="0" collapsed="false">
      <c r="B70" s="27" t="n">
        <v>60</v>
      </c>
      <c r="C70" s="28" t="s">
        <v>78</v>
      </c>
      <c r="D70" s="13" t="n">
        <v>1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 t="n">
        <v>2</v>
      </c>
      <c r="P70" s="13"/>
    </row>
    <row r="71" customFormat="false" ht="19.5" hidden="false" customHeight="true" outlineLevel="0" collapsed="false">
      <c r="B71" s="27" t="n">
        <v>61</v>
      </c>
      <c r="C71" s="28" t="s">
        <v>79</v>
      </c>
      <c r="D71" s="13" t="n">
        <v>1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 t="n">
        <v>2</v>
      </c>
      <c r="P71" s="13"/>
    </row>
    <row r="72" customFormat="false" ht="19.5" hidden="false" customHeight="true" outlineLevel="0" collapsed="false">
      <c r="B72" s="27" t="n">
        <v>62</v>
      </c>
      <c r="C72" s="28" t="s">
        <v>80</v>
      </c>
      <c r="D72" s="13" t="n">
        <v>1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 t="n">
        <v>2</v>
      </c>
      <c r="P72" s="13"/>
    </row>
    <row r="73" customFormat="false" ht="19.5" hidden="false" customHeight="true" outlineLevel="0" collapsed="false">
      <c r="B73" s="27" t="n">
        <v>63</v>
      </c>
      <c r="C73" s="28" t="s">
        <v>81</v>
      </c>
      <c r="D73" s="13" t="n">
        <v>1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 t="n">
        <v>2</v>
      </c>
      <c r="P73" s="13"/>
    </row>
    <row r="74" customFormat="false" ht="19.5" hidden="false" customHeight="true" outlineLevel="0" collapsed="false">
      <c r="B74" s="27" t="n">
        <v>64</v>
      </c>
      <c r="C74" s="28" t="s">
        <v>82</v>
      </c>
      <c r="D74" s="13" t="n">
        <v>1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 t="n">
        <v>2</v>
      </c>
      <c r="P74" s="13"/>
    </row>
    <row r="75" customFormat="false" ht="19.5" hidden="false" customHeight="true" outlineLevel="0" collapsed="false">
      <c r="B75" s="27" t="n">
        <v>65</v>
      </c>
      <c r="C75" s="28" t="s">
        <v>83</v>
      </c>
      <c r="D75" s="13" t="n">
        <v>1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 t="n">
        <v>2</v>
      </c>
      <c r="P75" s="13"/>
    </row>
    <row r="76" customFormat="false" ht="19.5" hidden="false" customHeight="true" outlineLevel="0" collapsed="false">
      <c r="B76" s="27" t="n">
        <v>66</v>
      </c>
      <c r="C76" s="28" t="s">
        <v>84</v>
      </c>
      <c r="D76" s="13" t="n">
        <v>1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 t="n">
        <v>2</v>
      </c>
      <c r="P76" s="13"/>
    </row>
    <row r="77" customFormat="false" ht="19.5" hidden="false" customHeight="true" outlineLevel="0" collapsed="false">
      <c r="B77" s="27" t="n">
        <v>67</v>
      </c>
      <c r="C77" s="28" t="s">
        <v>85</v>
      </c>
      <c r="D77" s="13" t="n">
        <v>1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 t="n">
        <v>2</v>
      </c>
      <c r="P77" s="13"/>
    </row>
    <row r="78" customFormat="false" ht="19.5" hidden="false" customHeight="true" outlineLevel="0" collapsed="false">
      <c r="B78" s="27" t="n">
        <v>68</v>
      </c>
      <c r="C78" s="28" t="s">
        <v>86</v>
      </c>
      <c r="D78" s="13" t="n">
        <v>1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 t="n">
        <v>2</v>
      </c>
      <c r="P78" s="13"/>
    </row>
    <row r="79" customFormat="false" ht="19.5" hidden="false" customHeight="true" outlineLevel="0" collapsed="false">
      <c r="B79" s="27" t="n">
        <v>69</v>
      </c>
      <c r="C79" s="28" t="s">
        <v>87</v>
      </c>
      <c r="D79" s="13" t="n">
        <v>1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 t="n">
        <v>2</v>
      </c>
      <c r="P79" s="13"/>
    </row>
    <row r="80" customFormat="false" ht="18" hidden="false" customHeight="true" outlineLevel="0" collapsed="false">
      <c r="B80" s="29" t="s">
        <v>88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</row>
    <row r="81" customFormat="false" ht="19.5" hidden="false" customHeight="true" outlineLevel="0" collapsed="false">
      <c r="B81" s="30" t="n">
        <v>70</v>
      </c>
      <c r="C81" s="31" t="s">
        <v>89</v>
      </c>
      <c r="D81" s="13" t="n">
        <v>1</v>
      </c>
      <c r="E81" s="13"/>
      <c r="F81" s="13"/>
      <c r="G81" s="13"/>
      <c r="H81" s="13"/>
      <c r="I81" s="13"/>
      <c r="J81" s="13"/>
      <c r="K81" s="13" t="n">
        <v>2</v>
      </c>
      <c r="L81" s="13"/>
      <c r="M81" s="13" t="n">
        <v>2</v>
      </c>
      <c r="N81" s="13"/>
      <c r="O81" s="13"/>
      <c r="P81" s="13"/>
    </row>
    <row r="82" customFormat="false" ht="19.5" hidden="false" customHeight="true" outlineLevel="0" collapsed="false">
      <c r="B82" s="30" t="n">
        <v>71</v>
      </c>
      <c r="C82" s="31" t="s">
        <v>90</v>
      </c>
      <c r="D82" s="13" t="n">
        <v>1</v>
      </c>
      <c r="E82" s="13"/>
      <c r="F82" s="13"/>
      <c r="G82" s="13"/>
      <c r="H82" s="13"/>
      <c r="I82" s="13"/>
      <c r="J82" s="13"/>
      <c r="K82" s="13" t="n">
        <v>2</v>
      </c>
      <c r="L82" s="13"/>
      <c r="M82" s="13" t="n">
        <v>2</v>
      </c>
      <c r="N82" s="13"/>
      <c r="O82" s="13"/>
      <c r="P82" s="13"/>
    </row>
    <row r="83" customFormat="false" ht="19.5" hidden="false" customHeight="true" outlineLevel="0" collapsed="false">
      <c r="B83" s="30" t="n">
        <v>72</v>
      </c>
      <c r="C83" s="31" t="s">
        <v>91</v>
      </c>
      <c r="D83" s="13" t="n">
        <v>1</v>
      </c>
      <c r="E83" s="13"/>
      <c r="F83" s="13"/>
      <c r="G83" s="13"/>
      <c r="H83" s="13"/>
      <c r="I83" s="13"/>
      <c r="J83" s="13"/>
      <c r="K83" s="13" t="n">
        <v>2</v>
      </c>
      <c r="L83" s="13"/>
      <c r="M83" s="13" t="n">
        <v>2</v>
      </c>
      <c r="N83" s="13"/>
      <c r="O83" s="13"/>
      <c r="P83" s="13"/>
    </row>
    <row r="84" customFormat="false" ht="19.5" hidden="false" customHeight="true" outlineLevel="0" collapsed="false">
      <c r="B84" s="30" t="n">
        <v>73</v>
      </c>
      <c r="C84" s="31" t="s">
        <v>92</v>
      </c>
      <c r="D84" s="13" t="n">
        <v>1</v>
      </c>
      <c r="E84" s="13"/>
      <c r="F84" s="13"/>
      <c r="G84" s="13"/>
      <c r="H84" s="13"/>
      <c r="I84" s="13"/>
      <c r="J84" s="13"/>
      <c r="K84" s="13" t="n">
        <v>2</v>
      </c>
      <c r="L84" s="13"/>
      <c r="M84" s="13" t="n">
        <v>2</v>
      </c>
      <c r="N84" s="13"/>
      <c r="O84" s="13"/>
      <c r="P84" s="13"/>
    </row>
    <row r="85" customFormat="false" ht="19.5" hidden="false" customHeight="true" outlineLevel="0" collapsed="false">
      <c r="B85" s="30" t="n">
        <v>74</v>
      </c>
      <c r="C85" s="31" t="s">
        <v>93</v>
      </c>
      <c r="D85" s="13" t="n">
        <v>1</v>
      </c>
      <c r="E85" s="13"/>
      <c r="F85" s="13"/>
      <c r="G85" s="13"/>
      <c r="H85" s="13"/>
      <c r="I85" s="13"/>
      <c r="J85" s="13"/>
      <c r="K85" s="13" t="n">
        <v>2</v>
      </c>
      <c r="L85" s="13"/>
      <c r="M85" s="13" t="n">
        <v>2</v>
      </c>
      <c r="N85" s="13"/>
      <c r="O85" s="13"/>
      <c r="P85" s="13"/>
    </row>
    <row r="86" customFormat="false" ht="19.5" hidden="false" customHeight="true" outlineLevel="0" collapsed="false">
      <c r="B86" s="30" t="n">
        <v>75</v>
      </c>
      <c r="C86" s="31" t="s">
        <v>94</v>
      </c>
      <c r="D86" s="13" t="n">
        <v>1</v>
      </c>
      <c r="E86" s="13"/>
      <c r="F86" s="13"/>
      <c r="G86" s="13"/>
      <c r="H86" s="13"/>
      <c r="I86" s="13"/>
      <c r="J86" s="13"/>
      <c r="K86" s="13" t="n">
        <v>2</v>
      </c>
      <c r="L86" s="13"/>
      <c r="M86" s="13" t="n">
        <v>2</v>
      </c>
      <c r="N86" s="13"/>
      <c r="O86" s="13"/>
      <c r="P86" s="13"/>
    </row>
    <row r="87" customFormat="false" ht="19.5" hidden="false" customHeight="true" outlineLevel="0" collapsed="false">
      <c r="B87" s="30" t="n">
        <v>76</v>
      </c>
      <c r="C87" s="31" t="s">
        <v>95</v>
      </c>
      <c r="D87" s="13" t="n">
        <v>1</v>
      </c>
      <c r="E87" s="13"/>
      <c r="F87" s="13"/>
      <c r="G87" s="13"/>
      <c r="H87" s="13"/>
      <c r="I87" s="13"/>
      <c r="J87" s="13"/>
      <c r="K87" s="13" t="n">
        <v>2</v>
      </c>
      <c r="L87" s="13"/>
      <c r="M87" s="13" t="n">
        <v>2</v>
      </c>
      <c r="N87" s="13"/>
      <c r="O87" s="13"/>
      <c r="P87" s="13"/>
    </row>
    <row r="88" customFormat="false" ht="19.5" hidden="false" customHeight="true" outlineLevel="0" collapsed="false">
      <c r="B88" s="30" t="n">
        <v>77</v>
      </c>
      <c r="C88" s="31" t="s">
        <v>96</v>
      </c>
      <c r="D88" s="13" t="n">
        <v>1</v>
      </c>
      <c r="E88" s="13"/>
      <c r="F88" s="13"/>
      <c r="G88" s="13"/>
      <c r="H88" s="13"/>
      <c r="I88" s="13"/>
      <c r="J88" s="13"/>
      <c r="K88" s="13" t="n">
        <v>2</v>
      </c>
      <c r="L88" s="13"/>
      <c r="M88" s="13" t="n">
        <v>2</v>
      </c>
      <c r="N88" s="13"/>
      <c r="O88" s="13"/>
      <c r="P88" s="13"/>
    </row>
    <row r="89" customFormat="false" ht="19.5" hidden="false" customHeight="true" outlineLevel="0" collapsed="false">
      <c r="B89" s="30" t="n">
        <v>78</v>
      </c>
      <c r="C89" s="31" t="s">
        <v>97</v>
      </c>
      <c r="D89" s="13" t="n">
        <v>1</v>
      </c>
      <c r="E89" s="13"/>
      <c r="F89" s="13"/>
      <c r="G89" s="13"/>
      <c r="H89" s="13"/>
      <c r="I89" s="13"/>
      <c r="J89" s="13"/>
      <c r="K89" s="13" t="n">
        <v>2</v>
      </c>
      <c r="L89" s="13"/>
      <c r="M89" s="13" t="n">
        <v>2</v>
      </c>
      <c r="N89" s="13"/>
      <c r="O89" s="13"/>
      <c r="P89" s="13"/>
    </row>
    <row r="90" customFormat="false" ht="19.5" hidden="false" customHeight="true" outlineLevel="0" collapsed="false">
      <c r="B90" s="30" t="n">
        <v>79</v>
      </c>
      <c r="C90" s="31" t="s">
        <v>98</v>
      </c>
      <c r="D90" s="13" t="n">
        <v>1</v>
      </c>
      <c r="E90" s="13"/>
      <c r="F90" s="13"/>
      <c r="G90" s="13"/>
      <c r="H90" s="13"/>
      <c r="I90" s="13"/>
      <c r="J90" s="13"/>
      <c r="K90" s="13" t="n">
        <v>2</v>
      </c>
      <c r="L90" s="13"/>
      <c r="M90" s="13" t="n">
        <v>2</v>
      </c>
      <c r="N90" s="13"/>
      <c r="O90" s="13"/>
      <c r="P90" s="13"/>
    </row>
    <row r="91" customFormat="false" ht="18" hidden="false" customHeight="true" outlineLevel="0" collapsed="false">
      <c r="B91" s="32" t="s">
        <v>99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</row>
    <row r="92" customFormat="false" ht="19.5" hidden="false" customHeight="true" outlineLevel="0" collapsed="false">
      <c r="B92" s="33" t="n">
        <v>80</v>
      </c>
      <c r="C92" s="34" t="s">
        <v>100</v>
      </c>
      <c r="D92" s="13" t="n">
        <v>1</v>
      </c>
      <c r="E92" s="13"/>
      <c r="F92" s="13"/>
      <c r="G92" s="13"/>
      <c r="H92" s="13"/>
      <c r="I92" s="13" t="n">
        <v>1</v>
      </c>
      <c r="J92" s="13"/>
      <c r="K92" s="13"/>
      <c r="L92" s="13"/>
      <c r="M92" s="13"/>
      <c r="N92" s="13"/>
      <c r="O92" s="13"/>
      <c r="P92" s="13"/>
    </row>
    <row r="93" customFormat="false" ht="19.5" hidden="false" customHeight="true" outlineLevel="0" collapsed="false">
      <c r="B93" s="33" t="n">
        <v>81</v>
      </c>
      <c r="C93" s="34" t="s">
        <v>101</v>
      </c>
      <c r="D93" s="13" t="n">
        <v>1</v>
      </c>
      <c r="E93" s="13"/>
      <c r="F93" s="13"/>
      <c r="G93" s="13"/>
      <c r="H93" s="13"/>
      <c r="I93" s="13" t="n">
        <v>2</v>
      </c>
      <c r="J93" s="13"/>
      <c r="K93" s="13"/>
      <c r="L93" s="13"/>
      <c r="M93" s="13"/>
      <c r="N93" s="13"/>
      <c r="O93" s="13"/>
      <c r="P93" s="13"/>
    </row>
    <row r="94" customFormat="false" ht="19.5" hidden="false" customHeight="true" outlineLevel="0" collapsed="false">
      <c r="B94" s="33" t="n">
        <v>82</v>
      </c>
      <c r="C94" s="34" t="s">
        <v>102</v>
      </c>
      <c r="D94" s="13" t="n">
        <v>1</v>
      </c>
      <c r="E94" s="13"/>
      <c r="F94" s="13"/>
      <c r="G94" s="13"/>
      <c r="H94" s="13"/>
      <c r="I94" s="13" t="n">
        <v>2</v>
      </c>
      <c r="J94" s="13"/>
      <c r="K94" s="13"/>
      <c r="L94" s="13"/>
      <c r="M94" s="13"/>
      <c r="N94" s="13"/>
      <c r="O94" s="13"/>
      <c r="P94" s="13"/>
    </row>
    <row r="95" customFormat="false" ht="19.5" hidden="false" customHeight="true" outlineLevel="0" collapsed="false">
      <c r="B95" s="33" t="n">
        <v>83</v>
      </c>
      <c r="C95" s="34" t="s">
        <v>103</v>
      </c>
      <c r="D95" s="13" t="n">
        <v>1</v>
      </c>
      <c r="E95" s="13"/>
      <c r="F95" s="13"/>
      <c r="G95" s="13"/>
      <c r="H95" s="13"/>
      <c r="I95" s="13" t="n">
        <v>2</v>
      </c>
      <c r="J95" s="13"/>
      <c r="K95" s="13"/>
      <c r="L95" s="13"/>
      <c r="M95" s="13"/>
      <c r="N95" s="13"/>
      <c r="O95" s="13"/>
      <c r="P95" s="13"/>
    </row>
    <row r="96" customFormat="false" ht="19.5" hidden="false" customHeight="true" outlineLevel="0" collapsed="false">
      <c r="B96" s="33" t="n">
        <v>84</v>
      </c>
      <c r="C96" s="34" t="s">
        <v>104</v>
      </c>
      <c r="D96" s="13" t="n">
        <v>1</v>
      </c>
      <c r="E96" s="13"/>
      <c r="F96" s="13"/>
      <c r="G96" s="13"/>
      <c r="H96" s="13"/>
      <c r="I96" s="13" t="n">
        <v>2</v>
      </c>
      <c r="J96" s="13"/>
      <c r="K96" s="13"/>
      <c r="L96" s="13"/>
      <c r="M96" s="13"/>
      <c r="N96" s="13"/>
      <c r="O96" s="13"/>
      <c r="P96" s="13"/>
    </row>
    <row r="97" customFormat="false" ht="19.5" hidden="false" customHeight="true" outlineLevel="0" collapsed="false">
      <c r="B97" s="33" t="n">
        <v>85</v>
      </c>
      <c r="C97" s="34" t="s">
        <v>105</v>
      </c>
      <c r="D97" s="13" t="n">
        <v>1</v>
      </c>
      <c r="E97" s="13"/>
      <c r="F97" s="13"/>
      <c r="G97" s="13"/>
      <c r="H97" s="13"/>
      <c r="I97" s="13" t="n">
        <v>2</v>
      </c>
      <c r="J97" s="13"/>
      <c r="K97" s="13"/>
      <c r="L97" s="13"/>
      <c r="M97" s="13"/>
      <c r="N97" s="13"/>
      <c r="O97" s="13"/>
      <c r="P97" s="13"/>
    </row>
    <row r="98" customFormat="false" ht="19.5" hidden="false" customHeight="true" outlineLevel="0" collapsed="false">
      <c r="B98" s="33" t="n">
        <v>86</v>
      </c>
      <c r="C98" s="34" t="s">
        <v>106</v>
      </c>
      <c r="D98" s="13" t="n">
        <v>1</v>
      </c>
      <c r="E98" s="13"/>
      <c r="F98" s="13"/>
      <c r="G98" s="13"/>
      <c r="H98" s="13"/>
      <c r="I98" s="13" t="n">
        <v>2</v>
      </c>
      <c r="J98" s="13"/>
      <c r="K98" s="13"/>
      <c r="L98" s="13"/>
      <c r="M98" s="13"/>
      <c r="N98" s="13"/>
      <c r="O98" s="13"/>
      <c r="P98" s="13"/>
    </row>
    <row r="99" customFormat="false" ht="18" hidden="false" customHeight="true" outlineLevel="0" collapsed="false">
      <c r="B99" s="35" t="s">
        <v>107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</row>
    <row r="100" customFormat="false" ht="19.5" hidden="false" customHeight="true" outlineLevel="0" collapsed="false">
      <c r="B100" s="36" t="n">
        <v>87</v>
      </c>
      <c r="C100" s="37" t="s">
        <v>108</v>
      </c>
      <c r="D100" s="13" t="n">
        <v>1</v>
      </c>
      <c r="E100" s="13"/>
      <c r="F100" s="13"/>
      <c r="G100" s="13" t="n">
        <v>1</v>
      </c>
      <c r="H100" s="13"/>
      <c r="I100" s="13"/>
      <c r="J100" s="13"/>
      <c r="K100" s="13"/>
      <c r="L100" s="13"/>
      <c r="M100" s="13"/>
      <c r="N100" s="13"/>
      <c r="O100" s="13"/>
      <c r="P100" s="13"/>
    </row>
    <row r="101" customFormat="false" ht="19.5" hidden="false" customHeight="true" outlineLevel="0" collapsed="false">
      <c r="B101" s="36" t="n">
        <v>88</v>
      </c>
      <c r="C101" s="37" t="s">
        <v>109</v>
      </c>
      <c r="D101" s="13" t="n">
        <v>1</v>
      </c>
      <c r="E101" s="13"/>
      <c r="F101" s="13"/>
      <c r="G101" s="13" t="n">
        <v>1</v>
      </c>
      <c r="H101" s="13"/>
      <c r="I101" s="13"/>
      <c r="J101" s="13"/>
      <c r="K101" s="13"/>
      <c r="L101" s="13"/>
      <c r="M101" s="13"/>
      <c r="N101" s="13"/>
      <c r="O101" s="13"/>
      <c r="P101" s="13"/>
    </row>
    <row r="102" customFormat="false" ht="19.5" hidden="false" customHeight="true" outlineLevel="0" collapsed="false">
      <c r="B102" s="36" t="n">
        <v>89</v>
      </c>
      <c r="C102" s="37" t="s">
        <v>110</v>
      </c>
      <c r="D102" s="13" t="n">
        <v>1</v>
      </c>
      <c r="E102" s="13"/>
      <c r="F102" s="13"/>
      <c r="G102" s="13" t="n">
        <v>1</v>
      </c>
      <c r="H102" s="13"/>
      <c r="I102" s="13"/>
      <c r="J102" s="13"/>
      <c r="K102" s="13"/>
      <c r="L102" s="13"/>
      <c r="M102" s="13"/>
      <c r="N102" s="13"/>
      <c r="O102" s="13"/>
      <c r="P102" s="13"/>
    </row>
    <row r="103" customFormat="false" ht="19.5" hidden="false" customHeight="true" outlineLevel="0" collapsed="false">
      <c r="B103" s="36" t="n">
        <v>90</v>
      </c>
      <c r="C103" s="37" t="s">
        <v>111</v>
      </c>
      <c r="D103" s="13" t="n">
        <v>1</v>
      </c>
      <c r="E103" s="13"/>
      <c r="F103" s="13"/>
      <c r="G103" s="13" t="n">
        <v>1</v>
      </c>
      <c r="H103" s="13"/>
      <c r="I103" s="13"/>
      <c r="J103" s="13"/>
      <c r="K103" s="13"/>
      <c r="L103" s="13"/>
      <c r="M103" s="13"/>
      <c r="N103" s="13"/>
      <c r="O103" s="13"/>
      <c r="P103" s="13"/>
    </row>
    <row r="104" customFormat="false" ht="19.5" hidden="false" customHeight="true" outlineLevel="0" collapsed="false">
      <c r="B104" s="36" t="n">
        <v>91</v>
      </c>
      <c r="C104" s="37" t="s">
        <v>112</v>
      </c>
      <c r="D104" s="13" t="n">
        <v>1</v>
      </c>
      <c r="E104" s="13"/>
      <c r="F104" s="13"/>
      <c r="G104" s="13" t="n">
        <v>1</v>
      </c>
      <c r="H104" s="13"/>
      <c r="I104" s="13"/>
      <c r="J104" s="13"/>
      <c r="K104" s="13"/>
      <c r="L104" s="13"/>
      <c r="M104" s="13"/>
      <c r="N104" s="13"/>
      <c r="O104" s="13"/>
      <c r="P104" s="13"/>
    </row>
    <row r="105" customFormat="false" ht="19.5" hidden="false" customHeight="true" outlineLevel="0" collapsed="false">
      <c r="B105" s="36" t="n">
        <v>92</v>
      </c>
      <c r="C105" s="37" t="s">
        <v>113</v>
      </c>
      <c r="D105" s="13" t="n">
        <v>1</v>
      </c>
      <c r="E105" s="13"/>
      <c r="F105" s="13"/>
      <c r="G105" s="13" t="n">
        <v>1</v>
      </c>
      <c r="H105" s="13"/>
      <c r="I105" s="13"/>
      <c r="J105" s="13"/>
      <c r="K105" s="13"/>
      <c r="L105" s="13"/>
      <c r="M105" s="13"/>
      <c r="N105" s="13"/>
      <c r="O105" s="13"/>
      <c r="P105" s="13"/>
    </row>
    <row r="106" customFormat="false" ht="18" hidden="false" customHeight="true" outlineLevel="0" collapsed="false">
      <c r="B106" s="38" t="s">
        <v>114</v>
      </c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</row>
    <row r="107" customFormat="false" ht="19.5" hidden="false" customHeight="true" outlineLevel="0" collapsed="false">
      <c r="B107" s="39" t="n">
        <v>93</v>
      </c>
      <c r="C107" s="40" t="s">
        <v>115</v>
      </c>
      <c r="D107" s="13" t="n">
        <v>1</v>
      </c>
      <c r="E107" s="13" t="n">
        <v>1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customFormat="false" ht="19.5" hidden="false" customHeight="true" outlineLevel="0" collapsed="false">
      <c r="B108" s="39" t="n">
        <v>94</v>
      </c>
      <c r="C108" s="40" t="s">
        <v>116</v>
      </c>
      <c r="D108" s="13" t="n">
        <v>1</v>
      </c>
      <c r="E108" s="13" t="n">
        <v>1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customFormat="false" ht="19.5" hidden="false" customHeight="true" outlineLevel="0" collapsed="false">
      <c r="B109" s="39" t="n">
        <v>95</v>
      </c>
      <c r="C109" s="40" t="s">
        <v>117</v>
      </c>
      <c r="D109" s="13" t="n">
        <v>1</v>
      </c>
      <c r="E109" s="13" t="n">
        <v>1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customFormat="false" ht="19.5" hidden="false" customHeight="true" outlineLevel="0" collapsed="false">
      <c r="B110" s="39" t="n">
        <v>96</v>
      </c>
      <c r="C110" s="40" t="s">
        <v>118</v>
      </c>
      <c r="D110" s="13" t="n">
        <v>1</v>
      </c>
      <c r="E110" s="13" t="n">
        <v>1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customFormat="false" ht="19.5" hidden="false" customHeight="true" outlineLevel="0" collapsed="false">
      <c r="B111" s="39" t="n">
        <v>97</v>
      </c>
      <c r="C111" s="40" t="s">
        <v>119</v>
      </c>
      <c r="D111" s="13" t="n">
        <v>1</v>
      </c>
      <c r="E111" s="13" t="n">
        <v>1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customFormat="false" ht="19.5" hidden="false" customHeight="true" outlineLevel="0" collapsed="false">
      <c r="B112" s="39" t="n">
        <v>98</v>
      </c>
      <c r="C112" s="40" t="s">
        <v>120</v>
      </c>
      <c r="D112" s="13" t="n">
        <v>1</v>
      </c>
      <c r="E112" s="13" t="n">
        <v>1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customFormat="false" ht="19.5" hidden="false" customHeight="true" outlineLevel="0" collapsed="false">
      <c r="B113" s="39" t="n">
        <v>99</v>
      </c>
      <c r="C113" s="40" t="s">
        <v>121</v>
      </c>
      <c r="D113" s="13" t="n">
        <v>1</v>
      </c>
      <c r="E113" s="13" t="n">
        <v>1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customFormat="false" ht="19.5" hidden="false" customHeight="true" outlineLevel="0" collapsed="false">
      <c r="B114" s="39" t="n">
        <v>100</v>
      </c>
      <c r="C114" s="40" t="s">
        <v>122</v>
      </c>
      <c r="D114" s="13" t="n">
        <v>1</v>
      </c>
      <c r="E114" s="13" t="n">
        <v>1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customFormat="false" ht="19.5" hidden="false" customHeight="true" outlineLevel="0" collapsed="false">
      <c r="B115" s="39" t="n">
        <v>101</v>
      </c>
      <c r="C115" s="40" t="s">
        <v>123</v>
      </c>
      <c r="D115" s="13" t="n">
        <v>1</v>
      </c>
      <c r="E115" s="13" t="n">
        <v>1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customFormat="false" ht="19.5" hidden="false" customHeight="true" outlineLevel="0" collapsed="false">
      <c r="B116" s="39" t="n">
        <v>102</v>
      </c>
      <c r="C116" s="40" t="s">
        <v>124</v>
      </c>
      <c r="D116" s="13" t="n">
        <v>1</v>
      </c>
      <c r="E116" s="13" t="n">
        <v>1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8" customFormat="false" ht="6" hidden="false" customHeight="true" outlineLevel="0" collapsed="false">
      <c r="B118" s="41"/>
      <c r="C118" s="41"/>
      <c r="D118" s="41"/>
    </row>
    <row r="119" customFormat="false" ht="27.75" hidden="false" customHeight="true" outlineLevel="0" collapsed="false">
      <c r="B119" s="42" t="str">
        <f aca="false">COUNTIF(D6:D116,1)&amp;" / 102 modules completed  ("&amp;TEXT(COUNTIF(D6:D116,1)/102,"0.0%")&amp;" done)"</f>
        <v>102 / 102 modules completed  (100.0% done)</v>
      </c>
      <c r="C119" s="42"/>
      <c r="D119" s="42"/>
      <c r="E119" s="43" t="str">
        <f aca="false">COUNTIF(E6:E116,1)&amp;" / 102 modules completed  ("&amp;TEXT(COUNTIF(E6:E116,1)/102,"0.0%")&amp;" done)"</f>
        <v>28 / 102 modules completed  (27.5% done)</v>
      </c>
      <c r="F119" s="43"/>
      <c r="G119" s="43" t="str">
        <f aca="false">COUNTIF(E6:G116,1)&amp;" / 102 modules completed  ("&amp;TEXT(COUNTIF(E6:G116,1)/102,"0.0%")&amp;" done)"</f>
        <v>42 / 102 modules completed  (41.2% done)</v>
      </c>
      <c r="H119" s="43"/>
      <c r="I119" s="43" t="str">
        <f aca="false">COUNTIF(E6:I116,1)&amp;" / 102 modules completed  ("&amp;TEXT(COUNTIF(E6:IE116,1)/102,"0.0%")&amp;" done)"</f>
        <v>45 / 102 modules completed  (44.1% done)</v>
      </c>
      <c r="J119" s="43"/>
      <c r="K119" s="43" t="str">
        <f aca="false">COUNTIF(E6:K116,1)&amp;" / 102 modules completed  ("&amp;TEXT(COUNTIF(E6:K116,1)/102,"0.0%")&amp;" done)"</f>
        <v>45 / 102 modules completed  (44.1% done)</v>
      </c>
      <c r="L119" s="43"/>
      <c r="M119" s="43" t="str">
        <f aca="false">COUNTIF(E6:M116,1)&amp;" / 102 modules completed  ("&amp;TEXT(COUNTIF(E6:M116,1)/102,"0.0%")&amp;" done)"</f>
        <v>45 / 102 modules completed  (44.1% done)</v>
      </c>
      <c r="N119" s="43"/>
      <c r="O119" s="43" t="str">
        <f aca="false">COUNTIF(E6:O116,1)&amp;" / 102 modules completed  ("&amp;TEXT(COUNTIF(E6:O116,1)/102,"0.0%")&amp;" done)"</f>
        <v>45 / 102 modules completed  (44.1% done)</v>
      </c>
      <c r="P119" s="43"/>
    </row>
  </sheetData>
  <mergeCells count="704">
    <mergeCell ref="E1:F1"/>
    <mergeCell ref="G1:H1"/>
    <mergeCell ref="I1:J1"/>
    <mergeCell ref="K1:L1"/>
    <mergeCell ref="M1:N1"/>
    <mergeCell ref="O1:P1"/>
    <mergeCell ref="B2:D2"/>
    <mergeCell ref="B3:D3"/>
    <mergeCell ref="E4:F4"/>
    <mergeCell ref="G4:H4"/>
    <mergeCell ref="I4:J4"/>
    <mergeCell ref="K4:L4"/>
    <mergeCell ref="M4:N4"/>
    <mergeCell ref="O4:P4"/>
    <mergeCell ref="B5:D5"/>
    <mergeCell ref="E5:F5"/>
    <mergeCell ref="G5:H5"/>
    <mergeCell ref="I5:J5"/>
    <mergeCell ref="K5:L5"/>
    <mergeCell ref="M5:N5"/>
    <mergeCell ref="O5:P5"/>
    <mergeCell ref="E6:F6"/>
    <mergeCell ref="G6:H6"/>
    <mergeCell ref="I6:J6"/>
    <mergeCell ref="K6:L6"/>
    <mergeCell ref="M6:N6"/>
    <mergeCell ref="O6:P6"/>
    <mergeCell ref="E7:F7"/>
    <mergeCell ref="G7:H7"/>
    <mergeCell ref="I7:J7"/>
    <mergeCell ref="K7:L7"/>
    <mergeCell ref="M7:N7"/>
    <mergeCell ref="O7:P7"/>
    <mergeCell ref="E8:F8"/>
    <mergeCell ref="G8:H8"/>
    <mergeCell ref="I8:J8"/>
    <mergeCell ref="K8:L8"/>
    <mergeCell ref="M8:N8"/>
    <mergeCell ref="O8:P8"/>
    <mergeCell ref="E9:F9"/>
    <mergeCell ref="G9:H9"/>
    <mergeCell ref="I9:J9"/>
    <mergeCell ref="K9:L9"/>
    <mergeCell ref="M9:N9"/>
    <mergeCell ref="O9:P9"/>
    <mergeCell ref="E10:F10"/>
    <mergeCell ref="G10:H10"/>
    <mergeCell ref="I10:J10"/>
    <mergeCell ref="K10:L10"/>
    <mergeCell ref="M10:N10"/>
    <mergeCell ref="O10:P10"/>
    <mergeCell ref="E11:F11"/>
    <mergeCell ref="G11:H11"/>
    <mergeCell ref="I11:J11"/>
    <mergeCell ref="K11:L11"/>
    <mergeCell ref="M11:N11"/>
    <mergeCell ref="O11:P11"/>
    <mergeCell ref="E12:F12"/>
    <mergeCell ref="G12:H12"/>
    <mergeCell ref="I12:J12"/>
    <mergeCell ref="K12:L12"/>
    <mergeCell ref="M12:N12"/>
    <mergeCell ref="O12:P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B17:D17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E19:F19"/>
    <mergeCell ref="G19:H19"/>
    <mergeCell ref="I19:J19"/>
    <mergeCell ref="K19:L19"/>
    <mergeCell ref="M19:N19"/>
    <mergeCell ref="O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3:F23"/>
    <mergeCell ref="G23:H23"/>
    <mergeCell ref="I23:J23"/>
    <mergeCell ref="K23:L23"/>
    <mergeCell ref="M23:N23"/>
    <mergeCell ref="O23:P23"/>
    <mergeCell ref="E24:F24"/>
    <mergeCell ref="G24:H24"/>
    <mergeCell ref="I24:J24"/>
    <mergeCell ref="K24:L24"/>
    <mergeCell ref="M24:N24"/>
    <mergeCell ref="O24:P24"/>
    <mergeCell ref="E25:F25"/>
    <mergeCell ref="G25:H25"/>
    <mergeCell ref="I25:J25"/>
    <mergeCell ref="K25:L25"/>
    <mergeCell ref="M25:N25"/>
    <mergeCell ref="O25:P25"/>
    <mergeCell ref="B26:D26"/>
    <mergeCell ref="E26:F26"/>
    <mergeCell ref="G26:H26"/>
    <mergeCell ref="I26:J26"/>
    <mergeCell ref="K26:L26"/>
    <mergeCell ref="M26:N26"/>
    <mergeCell ref="O26:P26"/>
    <mergeCell ref="E27:F27"/>
    <mergeCell ref="G27:H27"/>
    <mergeCell ref="I27:J27"/>
    <mergeCell ref="K27:L27"/>
    <mergeCell ref="M27:N27"/>
    <mergeCell ref="O27:P27"/>
    <mergeCell ref="E28:F28"/>
    <mergeCell ref="G28:H28"/>
    <mergeCell ref="I28:J28"/>
    <mergeCell ref="K28:L28"/>
    <mergeCell ref="M28:N28"/>
    <mergeCell ref="O28:P28"/>
    <mergeCell ref="E29:F29"/>
    <mergeCell ref="G29:H29"/>
    <mergeCell ref="I29:J29"/>
    <mergeCell ref="K29:L29"/>
    <mergeCell ref="M29:N29"/>
    <mergeCell ref="O29:P29"/>
    <mergeCell ref="E30:F30"/>
    <mergeCell ref="G30:H30"/>
    <mergeCell ref="I30:J30"/>
    <mergeCell ref="K30:L30"/>
    <mergeCell ref="M30:N30"/>
    <mergeCell ref="O30:P30"/>
    <mergeCell ref="E31:F31"/>
    <mergeCell ref="G31:H31"/>
    <mergeCell ref="I31:J31"/>
    <mergeCell ref="K31:L31"/>
    <mergeCell ref="M31:N31"/>
    <mergeCell ref="O31:P31"/>
    <mergeCell ref="E32:F32"/>
    <mergeCell ref="G32:H32"/>
    <mergeCell ref="I32:J32"/>
    <mergeCell ref="K32:L32"/>
    <mergeCell ref="M32:N32"/>
    <mergeCell ref="O32:P32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E35:F35"/>
    <mergeCell ref="G35:H35"/>
    <mergeCell ref="I35:J35"/>
    <mergeCell ref="K35:L35"/>
    <mergeCell ref="M35:N35"/>
    <mergeCell ref="O35:P35"/>
    <mergeCell ref="E36:F36"/>
    <mergeCell ref="G36:H36"/>
    <mergeCell ref="I36:J36"/>
    <mergeCell ref="K36:L36"/>
    <mergeCell ref="M36:N36"/>
    <mergeCell ref="O36:P36"/>
    <mergeCell ref="E37:F37"/>
    <mergeCell ref="G37:H37"/>
    <mergeCell ref="I37:J37"/>
    <mergeCell ref="K37:L37"/>
    <mergeCell ref="M37:N37"/>
    <mergeCell ref="O37:P37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E40:F40"/>
    <mergeCell ref="G40:H40"/>
    <mergeCell ref="I40:J40"/>
    <mergeCell ref="K40:L40"/>
    <mergeCell ref="M40:N40"/>
    <mergeCell ref="O40:P40"/>
    <mergeCell ref="E41:F41"/>
    <mergeCell ref="G41:H41"/>
    <mergeCell ref="I41:J41"/>
    <mergeCell ref="K41:L41"/>
    <mergeCell ref="M41:N41"/>
    <mergeCell ref="O41:P41"/>
    <mergeCell ref="E42:F42"/>
    <mergeCell ref="G42:H42"/>
    <mergeCell ref="I42:J42"/>
    <mergeCell ref="K42:L42"/>
    <mergeCell ref="M42:N42"/>
    <mergeCell ref="O42:P42"/>
    <mergeCell ref="E43:F43"/>
    <mergeCell ref="G43:H43"/>
    <mergeCell ref="I43:J43"/>
    <mergeCell ref="K43:L43"/>
    <mergeCell ref="M43:N43"/>
    <mergeCell ref="O43:P43"/>
    <mergeCell ref="E44:F44"/>
    <mergeCell ref="G44:H44"/>
    <mergeCell ref="I44:J44"/>
    <mergeCell ref="K44:L44"/>
    <mergeCell ref="M44:N44"/>
    <mergeCell ref="O44:P44"/>
    <mergeCell ref="E45:F45"/>
    <mergeCell ref="G45:H45"/>
    <mergeCell ref="I45:J45"/>
    <mergeCell ref="K45:L45"/>
    <mergeCell ref="M45:N45"/>
    <mergeCell ref="O45:P45"/>
    <mergeCell ref="E46:F46"/>
    <mergeCell ref="G46:H46"/>
    <mergeCell ref="I46:J46"/>
    <mergeCell ref="K46:L46"/>
    <mergeCell ref="M46:N46"/>
    <mergeCell ref="O46:P46"/>
    <mergeCell ref="B47:D47"/>
    <mergeCell ref="E47:F47"/>
    <mergeCell ref="G47:H47"/>
    <mergeCell ref="I47:J47"/>
    <mergeCell ref="K47:L47"/>
    <mergeCell ref="M47:N47"/>
    <mergeCell ref="O47:P47"/>
    <mergeCell ref="E48:F48"/>
    <mergeCell ref="G48:H48"/>
    <mergeCell ref="I48:J48"/>
    <mergeCell ref="K48:L48"/>
    <mergeCell ref="M48:N48"/>
    <mergeCell ref="O48:P48"/>
    <mergeCell ref="E49:F49"/>
    <mergeCell ref="G49:H49"/>
    <mergeCell ref="I49:J49"/>
    <mergeCell ref="K49:L49"/>
    <mergeCell ref="M49:N49"/>
    <mergeCell ref="O49:P49"/>
    <mergeCell ref="E50:F50"/>
    <mergeCell ref="G50:H50"/>
    <mergeCell ref="I50:J50"/>
    <mergeCell ref="K50:L50"/>
    <mergeCell ref="M50:N50"/>
    <mergeCell ref="O50:P50"/>
    <mergeCell ref="E51:F51"/>
    <mergeCell ref="G51:H51"/>
    <mergeCell ref="I51:J51"/>
    <mergeCell ref="K51:L51"/>
    <mergeCell ref="M51:N51"/>
    <mergeCell ref="O51:P51"/>
    <mergeCell ref="E52:F52"/>
    <mergeCell ref="G52:H52"/>
    <mergeCell ref="I52:J52"/>
    <mergeCell ref="K52:L52"/>
    <mergeCell ref="M52:N52"/>
    <mergeCell ref="O52:P52"/>
    <mergeCell ref="E53:F53"/>
    <mergeCell ref="G53:H53"/>
    <mergeCell ref="I53:J53"/>
    <mergeCell ref="K53:L53"/>
    <mergeCell ref="M53:N53"/>
    <mergeCell ref="O53:P53"/>
    <mergeCell ref="E54:F54"/>
    <mergeCell ref="G54:H54"/>
    <mergeCell ref="I54:J54"/>
    <mergeCell ref="K54:L54"/>
    <mergeCell ref="M54:N54"/>
    <mergeCell ref="O54:P54"/>
    <mergeCell ref="E55:F55"/>
    <mergeCell ref="G55:H55"/>
    <mergeCell ref="I55:J55"/>
    <mergeCell ref="K55:L55"/>
    <mergeCell ref="M55:N55"/>
    <mergeCell ref="O55:P55"/>
    <mergeCell ref="E56:F56"/>
    <mergeCell ref="G56:H56"/>
    <mergeCell ref="I56:J56"/>
    <mergeCell ref="K56:L56"/>
    <mergeCell ref="M56:N56"/>
    <mergeCell ref="O56:P56"/>
    <mergeCell ref="E57:F57"/>
    <mergeCell ref="G57:H57"/>
    <mergeCell ref="I57:J57"/>
    <mergeCell ref="K57:L57"/>
    <mergeCell ref="M57:N57"/>
    <mergeCell ref="O57:P57"/>
    <mergeCell ref="E58:F58"/>
    <mergeCell ref="G58:H58"/>
    <mergeCell ref="I58:J58"/>
    <mergeCell ref="K58:L58"/>
    <mergeCell ref="M58:N58"/>
    <mergeCell ref="O58:P58"/>
    <mergeCell ref="E59:F59"/>
    <mergeCell ref="G59:H59"/>
    <mergeCell ref="I59:J59"/>
    <mergeCell ref="K59:L59"/>
    <mergeCell ref="M59:N59"/>
    <mergeCell ref="O59:P59"/>
    <mergeCell ref="B60:D60"/>
    <mergeCell ref="E60:F60"/>
    <mergeCell ref="G60:H60"/>
    <mergeCell ref="I60:J60"/>
    <mergeCell ref="K60:L60"/>
    <mergeCell ref="M60:N60"/>
    <mergeCell ref="O60:P60"/>
    <mergeCell ref="E61:F61"/>
    <mergeCell ref="G61:H61"/>
    <mergeCell ref="I61:J61"/>
    <mergeCell ref="K61:L61"/>
    <mergeCell ref="M61:N61"/>
    <mergeCell ref="O61:P61"/>
    <mergeCell ref="E62:F62"/>
    <mergeCell ref="G62:H62"/>
    <mergeCell ref="I62:J62"/>
    <mergeCell ref="K62:L62"/>
    <mergeCell ref="M62:N62"/>
    <mergeCell ref="O62:P62"/>
    <mergeCell ref="E63:F63"/>
    <mergeCell ref="G63:H63"/>
    <mergeCell ref="I63:J63"/>
    <mergeCell ref="K63:L63"/>
    <mergeCell ref="M63:N63"/>
    <mergeCell ref="O63:P63"/>
    <mergeCell ref="E64:F64"/>
    <mergeCell ref="G64:H64"/>
    <mergeCell ref="I64:J64"/>
    <mergeCell ref="K64:L64"/>
    <mergeCell ref="M64:N64"/>
    <mergeCell ref="O64:P64"/>
    <mergeCell ref="E65:F65"/>
    <mergeCell ref="G65:H65"/>
    <mergeCell ref="I65:J65"/>
    <mergeCell ref="K65:L65"/>
    <mergeCell ref="M65:N65"/>
    <mergeCell ref="O65:P65"/>
    <mergeCell ref="E66:F66"/>
    <mergeCell ref="G66:H66"/>
    <mergeCell ref="I66:J66"/>
    <mergeCell ref="K66:L66"/>
    <mergeCell ref="M66:N66"/>
    <mergeCell ref="O66:P66"/>
    <mergeCell ref="E67:F67"/>
    <mergeCell ref="G67:H67"/>
    <mergeCell ref="I67:J67"/>
    <mergeCell ref="K67:L67"/>
    <mergeCell ref="M67:N67"/>
    <mergeCell ref="O67:P67"/>
    <mergeCell ref="E68:F68"/>
    <mergeCell ref="G68:H68"/>
    <mergeCell ref="I68:J68"/>
    <mergeCell ref="K68:L68"/>
    <mergeCell ref="M68:N68"/>
    <mergeCell ref="O68:P68"/>
    <mergeCell ref="E69:F69"/>
    <mergeCell ref="G69:H69"/>
    <mergeCell ref="I69:J69"/>
    <mergeCell ref="K69:L69"/>
    <mergeCell ref="M69:N69"/>
    <mergeCell ref="O69:P69"/>
    <mergeCell ref="E70:F70"/>
    <mergeCell ref="G70:H70"/>
    <mergeCell ref="I70:J70"/>
    <mergeCell ref="K70:L70"/>
    <mergeCell ref="M70:N70"/>
    <mergeCell ref="O70:P70"/>
    <mergeCell ref="E71:F71"/>
    <mergeCell ref="G71:H71"/>
    <mergeCell ref="I71:J71"/>
    <mergeCell ref="K71:L71"/>
    <mergeCell ref="M71:N71"/>
    <mergeCell ref="O71:P71"/>
    <mergeCell ref="E72:F72"/>
    <mergeCell ref="G72:H72"/>
    <mergeCell ref="I72:J72"/>
    <mergeCell ref="K72:L72"/>
    <mergeCell ref="M72:N72"/>
    <mergeCell ref="O72:P72"/>
    <mergeCell ref="E73:F73"/>
    <mergeCell ref="G73:H73"/>
    <mergeCell ref="I73:J73"/>
    <mergeCell ref="K73:L73"/>
    <mergeCell ref="M73:N73"/>
    <mergeCell ref="O73:P73"/>
    <mergeCell ref="E74:F74"/>
    <mergeCell ref="G74:H74"/>
    <mergeCell ref="I74:J74"/>
    <mergeCell ref="K74:L74"/>
    <mergeCell ref="M74:N74"/>
    <mergeCell ref="O74:P74"/>
    <mergeCell ref="E75:F75"/>
    <mergeCell ref="G75:H75"/>
    <mergeCell ref="I75:J75"/>
    <mergeCell ref="K75:L75"/>
    <mergeCell ref="M75:N75"/>
    <mergeCell ref="O75:P75"/>
    <mergeCell ref="E76:F76"/>
    <mergeCell ref="G76:H76"/>
    <mergeCell ref="I76:J76"/>
    <mergeCell ref="K76:L76"/>
    <mergeCell ref="M76:N76"/>
    <mergeCell ref="O76:P76"/>
    <mergeCell ref="E77:F77"/>
    <mergeCell ref="G77:H77"/>
    <mergeCell ref="I77:J77"/>
    <mergeCell ref="K77:L77"/>
    <mergeCell ref="M77:N77"/>
    <mergeCell ref="O77:P77"/>
    <mergeCell ref="E78:F78"/>
    <mergeCell ref="G78:H78"/>
    <mergeCell ref="I78:J78"/>
    <mergeCell ref="K78:L78"/>
    <mergeCell ref="M78:N78"/>
    <mergeCell ref="O78:P78"/>
    <mergeCell ref="E79:F79"/>
    <mergeCell ref="G79:H79"/>
    <mergeCell ref="I79:J79"/>
    <mergeCell ref="K79:L79"/>
    <mergeCell ref="M79:N79"/>
    <mergeCell ref="O79:P79"/>
    <mergeCell ref="B80:D80"/>
    <mergeCell ref="E80:F80"/>
    <mergeCell ref="G80:H80"/>
    <mergeCell ref="I80:J80"/>
    <mergeCell ref="K80:L80"/>
    <mergeCell ref="M80:N80"/>
    <mergeCell ref="O80:P80"/>
    <mergeCell ref="E81:F81"/>
    <mergeCell ref="G81:H81"/>
    <mergeCell ref="I81:J81"/>
    <mergeCell ref="K81:L81"/>
    <mergeCell ref="M81:N81"/>
    <mergeCell ref="O81:P81"/>
    <mergeCell ref="E82:F82"/>
    <mergeCell ref="G82:H82"/>
    <mergeCell ref="I82:J82"/>
    <mergeCell ref="K82:L82"/>
    <mergeCell ref="M82:N82"/>
    <mergeCell ref="O82:P82"/>
    <mergeCell ref="E83:F83"/>
    <mergeCell ref="G83:H83"/>
    <mergeCell ref="I83:J83"/>
    <mergeCell ref="K83:L83"/>
    <mergeCell ref="M83:N83"/>
    <mergeCell ref="O83:P83"/>
    <mergeCell ref="E84:F84"/>
    <mergeCell ref="G84:H84"/>
    <mergeCell ref="I84:J84"/>
    <mergeCell ref="K84:L84"/>
    <mergeCell ref="M84:N84"/>
    <mergeCell ref="O84:P84"/>
    <mergeCell ref="E85:F85"/>
    <mergeCell ref="G85:H85"/>
    <mergeCell ref="I85:J85"/>
    <mergeCell ref="K85:L85"/>
    <mergeCell ref="M85:N85"/>
    <mergeCell ref="O85:P85"/>
    <mergeCell ref="E86:F86"/>
    <mergeCell ref="G86:H86"/>
    <mergeCell ref="I86:J86"/>
    <mergeCell ref="K86:L86"/>
    <mergeCell ref="M86:N86"/>
    <mergeCell ref="O86:P86"/>
    <mergeCell ref="E87:F87"/>
    <mergeCell ref="G87:H87"/>
    <mergeCell ref="I87:J87"/>
    <mergeCell ref="K87:L87"/>
    <mergeCell ref="M87:N87"/>
    <mergeCell ref="O87:P87"/>
    <mergeCell ref="E88:F88"/>
    <mergeCell ref="G88:H88"/>
    <mergeCell ref="I88:J88"/>
    <mergeCell ref="K88:L88"/>
    <mergeCell ref="M88:N88"/>
    <mergeCell ref="O88:P88"/>
    <mergeCell ref="E89:F89"/>
    <mergeCell ref="G89:H89"/>
    <mergeCell ref="I89:J89"/>
    <mergeCell ref="K89:L89"/>
    <mergeCell ref="M89:N89"/>
    <mergeCell ref="O89:P89"/>
    <mergeCell ref="E90:F90"/>
    <mergeCell ref="G90:H90"/>
    <mergeCell ref="I90:J90"/>
    <mergeCell ref="K90:L90"/>
    <mergeCell ref="M90:N90"/>
    <mergeCell ref="O90:P90"/>
    <mergeCell ref="B91:D91"/>
    <mergeCell ref="E91:F91"/>
    <mergeCell ref="G91:H91"/>
    <mergeCell ref="I91:J91"/>
    <mergeCell ref="K91:L91"/>
    <mergeCell ref="M91:N91"/>
    <mergeCell ref="O91:P91"/>
    <mergeCell ref="E92:F92"/>
    <mergeCell ref="G92:H92"/>
    <mergeCell ref="I92:J92"/>
    <mergeCell ref="K92:L92"/>
    <mergeCell ref="M92:N92"/>
    <mergeCell ref="O92:P92"/>
    <mergeCell ref="E93:F93"/>
    <mergeCell ref="G93:H93"/>
    <mergeCell ref="I93:J93"/>
    <mergeCell ref="K93:L93"/>
    <mergeCell ref="M93:N93"/>
    <mergeCell ref="O93:P93"/>
    <mergeCell ref="E94:F94"/>
    <mergeCell ref="G94:H94"/>
    <mergeCell ref="I94:J94"/>
    <mergeCell ref="K94:L94"/>
    <mergeCell ref="M94:N94"/>
    <mergeCell ref="O94:P94"/>
    <mergeCell ref="E95:F95"/>
    <mergeCell ref="G95:H95"/>
    <mergeCell ref="I95:J95"/>
    <mergeCell ref="K95:L95"/>
    <mergeCell ref="M95:N95"/>
    <mergeCell ref="O95:P95"/>
    <mergeCell ref="E96:F96"/>
    <mergeCell ref="G96:H96"/>
    <mergeCell ref="I96:J96"/>
    <mergeCell ref="K96:L96"/>
    <mergeCell ref="M96:N96"/>
    <mergeCell ref="O96:P96"/>
    <mergeCell ref="E97:F97"/>
    <mergeCell ref="G97:H97"/>
    <mergeCell ref="I97:J97"/>
    <mergeCell ref="K97:L97"/>
    <mergeCell ref="M97:N97"/>
    <mergeCell ref="O97:P97"/>
    <mergeCell ref="E98:F98"/>
    <mergeCell ref="G98:H98"/>
    <mergeCell ref="I98:J98"/>
    <mergeCell ref="K98:L98"/>
    <mergeCell ref="M98:N98"/>
    <mergeCell ref="O98:P98"/>
    <mergeCell ref="B99:D99"/>
    <mergeCell ref="E99:F99"/>
    <mergeCell ref="G99:H99"/>
    <mergeCell ref="I99:J99"/>
    <mergeCell ref="K99:L99"/>
    <mergeCell ref="M99:N99"/>
    <mergeCell ref="O99:P99"/>
    <mergeCell ref="E100:F100"/>
    <mergeCell ref="G100:H100"/>
    <mergeCell ref="I100:J100"/>
    <mergeCell ref="K100:L100"/>
    <mergeCell ref="M100:N100"/>
    <mergeCell ref="O100:P100"/>
    <mergeCell ref="E101:F101"/>
    <mergeCell ref="G101:H101"/>
    <mergeCell ref="I101:J101"/>
    <mergeCell ref="K101:L101"/>
    <mergeCell ref="M101:N101"/>
    <mergeCell ref="O101:P101"/>
    <mergeCell ref="E102:F102"/>
    <mergeCell ref="G102:H102"/>
    <mergeCell ref="I102:J102"/>
    <mergeCell ref="K102:L102"/>
    <mergeCell ref="M102:N102"/>
    <mergeCell ref="O102:P102"/>
    <mergeCell ref="E103:F103"/>
    <mergeCell ref="G103:H103"/>
    <mergeCell ref="I103:J103"/>
    <mergeCell ref="K103:L103"/>
    <mergeCell ref="M103:N103"/>
    <mergeCell ref="O103:P103"/>
    <mergeCell ref="E104:F104"/>
    <mergeCell ref="G104:H104"/>
    <mergeCell ref="I104:J104"/>
    <mergeCell ref="K104:L104"/>
    <mergeCell ref="M104:N104"/>
    <mergeCell ref="O104:P104"/>
    <mergeCell ref="E105:F105"/>
    <mergeCell ref="G105:H105"/>
    <mergeCell ref="I105:J105"/>
    <mergeCell ref="K105:L105"/>
    <mergeCell ref="M105:N105"/>
    <mergeCell ref="O105:P105"/>
    <mergeCell ref="B106:D106"/>
    <mergeCell ref="E106:F106"/>
    <mergeCell ref="G106:H106"/>
    <mergeCell ref="I106:J106"/>
    <mergeCell ref="K106:L106"/>
    <mergeCell ref="M106:N106"/>
    <mergeCell ref="O106:P106"/>
    <mergeCell ref="E107:F107"/>
    <mergeCell ref="G107:H107"/>
    <mergeCell ref="I107:J107"/>
    <mergeCell ref="K107:L107"/>
    <mergeCell ref="M107:N107"/>
    <mergeCell ref="O107:P107"/>
    <mergeCell ref="E108:F108"/>
    <mergeCell ref="G108:H108"/>
    <mergeCell ref="I108:J108"/>
    <mergeCell ref="K108:L108"/>
    <mergeCell ref="M108:N108"/>
    <mergeCell ref="O108:P108"/>
    <mergeCell ref="E109:F109"/>
    <mergeCell ref="G109:H109"/>
    <mergeCell ref="I109:J109"/>
    <mergeCell ref="K109:L109"/>
    <mergeCell ref="M109:N109"/>
    <mergeCell ref="O109:P109"/>
    <mergeCell ref="E110:F110"/>
    <mergeCell ref="G110:H110"/>
    <mergeCell ref="I110:J110"/>
    <mergeCell ref="K110:L110"/>
    <mergeCell ref="M110:N110"/>
    <mergeCell ref="O110:P110"/>
    <mergeCell ref="E111:F111"/>
    <mergeCell ref="G111:H111"/>
    <mergeCell ref="I111:J111"/>
    <mergeCell ref="K111:L111"/>
    <mergeCell ref="M111:N111"/>
    <mergeCell ref="O111:P111"/>
    <mergeCell ref="E112:F112"/>
    <mergeCell ref="G112:H112"/>
    <mergeCell ref="I112:J112"/>
    <mergeCell ref="K112:L112"/>
    <mergeCell ref="M112:N112"/>
    <mergeCell ref="O112:P112"/>
    <mergeCell ref="E113:F113"/>
    <mergeCell ref="G113:H113"/>
    <mergeCell ref="I113:J113"/>
    <mergeCell ref="K113:L113"/>
    <mergeCell ref="M113:N113"/>
    <mergeCell ref="O113:P113"/>
    <mergeCell ref="E114:F114"/>
    <mergeCell ref="G114:H114"/>
    <mergeCell ref="I114:J114"/>
    <mergeCell ref="K114:L114"/>
    <mergeCell ref="M114:N114"/>
    <mergeCell ref="O114:P114"/>
    <mergeCell ref="E115:F115"/>
    <mergeCell ref="G115:H115"/>
    <mergeCell ref="I115:J115"/>
    <mergeCell ref="K115:L115"/>
    <mergeCell ref="M115:N115"/>
    <mergeCell ref="O115:P115"/>
    <mergeCell ref="E116:F116"/>
    <mergeCell ref="G116:H116"/>
    <mergeCell ref="I116:J116"/>
    <mergeCell ref="K116:L116"/>
    <mergeCell ref="M116:N116"/>
    <mergeCell ref="O116:P116"/>
    <mergeCell ref="B118:D118"/>
    <mergeCell ref="B119:D119"/>
    <mergeCell ref="E119:F119"/>
    <mergeCell ref="G119:H119"/>
    <mergeCell ref="I119:J119"/>
    <mergeCell ref="K119:L119"/>
    <mergeCell ref="M119:N119"/>
    <mergeCell ref="O119:P119"/>
  </mergeCells>
  <conditionalFormatting sqref="E6:P116">
    <cfRule type="containsText" priority="2" operator="containsText" aboveAverage="0" equalAverage="0" bottom="0" percent="0" rank="0" text="2" dxfId="0">
      <formula>NOT(ISERROR(SEARCH("2",E6)))</formula>
    </cfRule>
  </conditionalFormatting>
  <conditionalFormatting sqref="D6:P116">
    <cfRule type="containsText" priority="3" operator="containsText" aboveAverage="0" equalAverage="0" bottom="0" percent="0" rank="0" text="1" dxfId="1">
      <formula>NOT(ISERROR(SEARCH("1",D6)))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0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28" activeCellId="0" sqref="B28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2" width="3"/>
    <col collapsed="false" customWidth="true" hidden="false" outlineLevel="0" max="2" min="2" style="2" width="36"/>
    <col collapsed="false" customWidth="true" hidden="false" outlineLevel="0" max="4" min="3" style="2" width="14"/>
    <col collapsed="false" customWidth="true" hidden="false" outlineLevel="0" max="5" min="5" style="2" width="16"/>
    <col collapsed="false" customWidth="true" hidden="false" outlineLevel="0" max="6" min="6" style="2" width="3"/>
  </cols>
  <sheetData>
    <row r="1" customFormat="false" ht="31.5" hidden="false" customHeight="true" outlineLevel="0" collapsed="false">
      <c r="B1" s="44" t="s">
        <v>125</v>
      </c>
      <c r="C1" s="44"/>
      <c r="D1" s="44"/>
      <c r="E1" s="44"/>
    </row>
    <row r="2" customFormat="false" ht="15.75" hidden="false" customHeight="true" outlineLevel="0" collapsed="false">
      <c r="B2" s="45" t="s">
        <v>126</v>
      </c>
      <c r="C2" s="45"/>
      <c r="D2" s="45"/>
      <c r="E2" s="45"/>
    </row>
    <row r="3" customFormat="false" ht="19.5" hidden="false" customHeight="true" outlineLevel="0" collapsed="false">
      <c r="B3" s="46" t="s">
        <v>127</v>
      </c>
      <c r="C3" s="46" t="s">
        <v>128</v>
      </c>
      <c r="D3" s="46" t="s">
        <v>129</v>
      </c>
      <c r="E3" s="46" t="s">
        <v>130</v>
      </c>
    </row>
    <row r="4" customFormat="false" ht="19.5" hidden="false" customHeight="true" outlineLevel="0" collapsed="false">
      <c r="B4" s="47" t="s">
        <v>131</v>
      </c>
      <c r="C4" s="48" t="n">
        <v>11</v>
      </c>
      <c r="D4" s="48" t="n">
        <f aca="false">COUNTIF('📋 Tracker'!D6:D16,1)</f>
        <v>11</v>
      </c>
      <c r="E4" s="49" t="n">
        <f aca="false">D4/C4</f>
        <v>1</v>
      </c>
    </row>
    <row r="5" customFormat="false" ht="19.5" hidden="false" customHeight="true" outlineLevel="0" collapsed="false">
      <c r="B5" s="50" t="s">
        <v>132</v>
      </c>
      <c r="C5" s="51" t="n">
        <v>8</v>
      </c>
      <c r="D5" s="51" t="n">
        <f aca="false">COUNTIF('📋 Tracker'!D18:D25,1)</f>
        <v>8</v>
      </c>
      <c r="E5" s="52" t="n">
        <f aca="false">D5/C5</f>
        <v>1</v>
      </c>
    </row>
    <row r="6" customFormat="false" ht="19.5" hidden="false" customHeight="true" outlineLevel="0" collapsed="false">
      <c r="B6" s="53" t="s">
        <v>133</v>
      </c>
      <c r="C6" s="54" t="n">
        <v>7</v>
      </c>
      <c r="D6" s="54" t="n">
        <f aca="false">COUNTIF('📋 Tracker'!D27:D33,1)</f>
        <v>7</v>
      </c>
      <c r="E6" s="55" t="n">
        <f aca="false">D6/C6</f>
        <v>1</v>
      </c>
    </row>
    <row r="7" customFormat="false" ht="19.5" hidden="false" customHeight="true" outlineLevel="0" collapsed="false">
      <c r="B7" s="56" t="s">
        <v>134</v>
      </c>
      <c r="C7" s="57" t="n">
        <v>12</v>
      </c>
      <c r="D7" s="57" t="n">
        <f aca="false">COUNTIF('📋 Tracker'!D35:D46,1)</f>
        <v>12</v>
      </c>
      <c r="E7" s="58" t="n">
        <f aca="false">D7/C7</f>
        <v>1</v>
      </c>
    </row>
    <row r="8" customFormat="false" ht="19.5" hidden="false" customHeight="true" outlineLevel="0" collapsed="false">
      <c r="B8" s="59" t="s">
        <v>135</v>
      </c>
      <c r="C8" s="60" t="n">
        <v>12</v>
      </c>
      <c r="D8" s="60" t="n">
        <f aca="false">COUNTIF('📋 Tracker'!D48:D59,1)</f>
        <v>12</v>
      </c>
      <c r="E8" s="61" t="n">
        <f aca="false">D8/C8</f>
        <v>1</v>
      </c>
    </row>
    <row r="9" customFormat="false" ht="19.5" hidden="false" customHeight="true" outlineLevel="0" collapsed="false">
      <c r="B9" s="62" t="s">
        <v>136</v>
      </c>
      <c r="C9" s="63" t="n">
        <v>19</v>
      </c>
      <c r="D9" s="63" t="n">
        <f aca="false">COUNTIF('📋 Tracker'!D61:D79,1)</f>
        <v>19</v>
      </c>
      <c r="E9" s="64" t="n">
        <f aca="false">D9/C9</f>
        <v>1</v>
      </c>
    </row>
    <row r="10" customFormat="false" ht="19.5" hidden="false" customHeight="true" outlineLevel="0" collapsed="false">
      <c r="B10" s="65" t="s">
        <v>137</v>
      </c>
      <c r="C10" s="66" t="n">
        <v>10</v>
      </c>
      <c r="D10" s="66" t="n">
        <f aca="false">COUNTIF('📋 Tracker'!D81:D90,1)</f>
        <v>10</v>
      </c>
      <c r="E10" s="67" t="n">
        <f aca="false">D10/C10</f>
        <v>1</v>
      </c>
    </row>
    <row r="11" customFormat="false" ht="19.5" hidden="false" customHeight="true" outlineLevel="0" collapsed="false">
      <c r="B11" s="68" t="s">
        <v>138</v>
      </c>
      <c r="C11" s="69" t="n">
        <v>7</v>
      </c>
      <c r="D11" s="69" t="n">
        <f aca="false">COUNTIF('📋 Tracker'!D92:D98,1)</f>
        <v>7</v>
      </c>
      <c r="E11" s="70" t="n">
        <f aca="false">D11/C11</f>
        <v>1</v>
      </c>
    </row>
    <row r="12" customFormat="false" ht="19.5" hidden="false" customHeight="true" outlineLevel="0" collapsed="false">
      <c r="B12" s="71" t="s">
        <v>107</v>
      </c>
      <c r="C12" s="72" t="n">
        <v>6</v>
      </c>
      <c r="D12" s="72" t="n">
        <f aca="false">COUNTIF('📋 Tracker'!D100:D105,1)</f>
        <v>6</v>
      </c>
      <c r="E12" s="73" t="n">
        <f aca="false">D12/C12</f>
        <v>1</v>
      </c>
    </row>
    <row r="13" customFormat="false" ht="19.5" hidden="false" customHeight="true" outlineLevel="0" collapsed="false">
      <c r="B13" s="74" t="s">
        <v>139</v>
      </c>
      <c r="C13" s="75" t="n">
        <v>10</v>
      </c>
      <c r="D13" s="75" t="n">
        <f aca="false">COUNTIF('📋 Tracker'!D107:D116,1)</f>
        <v>10</v>
      </c>
      <c r="E13" s="76" t="n">
        <f aca="false">D13/C13</f>
        <v>1</v>
      </c>
    </row>
    <row r="14" customFormat="false" ht="21.75" hidden="false" customHeight="true" outlineLevel="0" collapsed="false">
      <c r="B14" s="77" t="s">
        <v>140</v>
      </c>
      <c r="C14" s="77" t="n">
        <v>102</v>
      </c>
      <c r="D14" s="77" t="n">
        <f aca="false">SUM(D4:D13)</f>
        <v>102</v>
      </c>
      <c r="E14" s="78" t="n">
        <f aca="false">D14/102</f>
        <v>1</v>
      </c>
    </row>
    <row r="16" customFormat="false" ht="31.5" hidden="false" customHeight="true" outlineLevel="0" collapsed="false">
      <c r="B16" s="79" t="str">
        <f aca="false">"Overall: "&amp;TEXT(D14/102,"0.0%")&amp;"  complete  ("&amp;D14&amp;" / 102 LMs)"</f>
        <v>Overall: 100.0%  complete  (102 / 102 LMs)</v>
      </c>
      <c r="C16" s="79"/>
      <c r="D16" s="79"/>
      <c r="E16" s="79"/>
    </row>
    <row r="18" customFormat="false" ht="25.5" hidden="false" customHeight="true" outlineLevel="0" collapsed="false">
      <c r="B18" s="80" t="s">
        <v>141</v>
      </c>
      <c r="C18" s="80"/>
      <c r="D18" s="80"/>
      <c r="E18" s="80"/>
    </row>
    <row r="19" customFormat="false" ht="18" hidden="false" customHeight="true" outlineLevel="0" collapsed="false">
      <c r="B19" s="46" t="s">
        <v>127</v>
      </c>
      <c r="C19" s="46" t="s">
        <v>142</v>
      </c>
      <c r="D19" s="46" t="s">
        <v>143</v>
      </c>
      <c r="E19" s="46" t="s">
        <v>144</v>
      </c>
    </row>
    <row r="20" customFormat="false" ht="18" hidden="false" customHeight="true" outlineLevel="0" collapsed="false">
      <c r="B20" s="74" t="s">
        <v>139</v>
      </c>
      <c r="C20" s="81" t="s">
        <v>145</v>
      </c>
      <c r="D20" s="82" t="n">
        <v>0.15</v>
      </c>
      <c r="E20" s="82" t="n">
        <v>0.2</v>
      </c>
    </row>
    <row r="21" customFormat="false" ht="18" hidden="false" customHeight="true" outlineLevel="0" collapsed="false">
      <c r="B21" s="59" t="s">
        <v>135</v>
      </c>
      <c r="C21" s="83" t="s">
        <v>146</v>
      </c>
      <c r="D21" s="84" t="n">
        <v>0.11</v>
      </c>
      <c r="E21" s="84" t="n">
        <v>0.14</v>
      </c>
    </row>
    <row r="22" customFormat="false" ht="18" hidden="false" customHeight="true" outlineLevel="0" collapsed="false">
      <c r="B22" s="56" t="s">
        <v>134</v>
      </c>
      <c r="C22" s="85" t="s">
        <v>146</v>
      </c>
      <c r="D22" s="86" t="n">
        <v>0.11</v>
      </c>
      <c r="E22" s="86" t="n">
        <v>0.14</v>
      </c>
    </row>
    <row r="23" customFormat="false" ht="18" hidden="false" customHeight="true" outlineLevel="0" collapsed="false">
      <c r="B23" s="62" t="s">
        <v>136</v>
      </c>
      <c r="C23" s="87" t="s">
        <v>146</v>
      </c>
      <c r="D23" s="88" t="n">
        <v>0.11</v>
      </c>
      <c r="E23" s="88" t="n">
        <v>0.14</v>
      </c>
    </row>
    <row r="24" customFormat="false" ht="18" hidden="false" customHeight="true" outlineLevel="0" collapsed="false">
      <c r="B24" s="47" t="s">
        <v>131</v>
      </c>
      <c r="C24" s="89" t="s">
        <v>146</v>
      </c>
      <c r="D24" s="90" t="n">
        <v>0.11</v>
      </c>
      <c r="E24" s="90" t="n">
        <v>0.14</v>
      </c>
    </row>
    <row r="25" customFormat="false" ht="18" hidden="false" customHeight="true" outlineLevel="0" collapsed="false">
      <c r="B25" s="71" t="s">
        <v>107</v>
      </c>
      <c r="C25" s="91" t="s">
        <v>147</v>
      </c>
      <c r="D25" s="92" t="n">
        <v>0.08</v>
      </c>
      <c r="E25" s="92" t="n">
        <v>0.12</v>
      </c>
    </row>
    <row r="26" customFormat="false" ht="18" hidden="false" customHeight="true" outlineLevel="0" collapsed="false">
      <c r="B26" s="68" t="s">
        <v>138</v>
      </c>
      <c r="C26" s="93" t="s">
        <v>148</v>
      </c>
      <c r="D26" s="94" t="n">
        <v>0.06</v>
      </c>
      <c r="E26" s="94" t="n">
        <v>0.09</v>
      </c>
    </row>
    <row r="27" customFormat="false" ht="18" hidden="false" customHeight="true" outlineLevel="0" collapsed="false">
      <c r="B27" s="53" t="s">
        <v>133</v>
      </c>
      <c r="C27" s="95" t="s">
        <v>148</v>
      </c>
      <c r="D27" s="96" t="n">
        <v>0.06</v>
      </c>
      <c r="E27" s="96" t="n">
        <v>0.09</v>
      </c>
    </row>
    <row r="28" customFormat="false" ht="18" hidden="false" customHeight="true" outlineLevel="0" collapsed="false">
      <c r="B28" s="50" t="s">
        <v>132</v>
      </c>
      <c r="C28" s="97" t="s">
        <v>148</v>
      </c>
      <c r="D28" s="98" t="n">
        <v>0.06</v>
      </c>
      <c r="E28" s="98" t="n">
        <v>0.09</v>
      </c>
    </row>
    <row r="29" customFormat="false" ht="18" hidden="false" customHeight="true" outlineLevel="0" collapsed="false">
      <c r="B29" s="65" t="s">
        <v>137</v>
      </c>
      <c r="C29" s="99" t="s">
        <v>148</v>
      </c>
      <c r="D29" s="100" t="n">
        <v>0.06</v>
      </c>
      <c r="E29" s="100" t="n">
        <v>0.09</v>
      </c>
    </row>
    <row r="30" customFormat="false" ht="13.5" hidden="false" customHeight="true" outlineLevel="0" collapsed="false">
      <c r="B30" s="101" t="s">
        <v>149</v>
      </c>
      <c r="C30" s="101"/>
      <c r="D30" s="101"/>
      <c r="E30" s="101"/>
    </row>
  </sheetData>
  <mergeCells count="5">
    <mergeCell ref="B1:E1"/>
    <mergeCell ref="B2:E2"/>
    <mergeCell ref="B16:E16"/>
    <mergeCell ref="B18:E18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2026-06-23T21:29:24Z</dcterms:created>
  <dc:creator>openpyxl</dc:creator>
  <dc:description/>
  <dc:language>en-US</dc:language>
  <cp:lastModifiedBy/>
  <dcterms:modified xsi:type="dcterms:W3CDTF">2026-09-23T01:47:27Z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